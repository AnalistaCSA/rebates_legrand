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A Área TI\Documents\CSA\Rebates Legrand\"/>
    </mc:Choice>
  </mc:AlternateContent>
  <xr:revisionPtr revIDLastSave="0" documentId="13_ncr:1_{5388763A-4692-4B78-BEDA-AA3540F1B2A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bates" sheetId="7" r:id="rId1"/>
    <sheet name="Tablas" sheetId="2" r:id="rId2"/>
    <sheet name="Facturado" sheetId="1" r:id="rId3"/>
    <sheet name="Compras" sheetId="6" r:id="rId4"/>
  </sheets>
  <definedNames>
    <definedName name="_xlnm._FilterDatabase" localSheetId="3" hidden="1">Compras!$A$1:$P$395</definedName>
    <definedName name="_xlnm._FilterDatabase" localSheetId="2" hidden="1">Facturado!$A$1:$R$423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2" l="1"/>
  <c r="D58" i="2"/>
  <c r="D53" i="2"/>
  <c r="D48" i="2"/>
  <c r="D42" i="2"/>
  <c r="D37" i="2"/>
  <c r="D32" i="2"/>
  <c r="D8" i="2"/>
  <c r="D20" i="2"/>
  <c r="D19" i="2"/>
  <c r="D18" i="2"/>
  <c r="D10" i="2"/>
  <c r="D9" i="2"/>
  <c r="D27" i="2"/>
  <c r="D21" i="2" l="1"/>
  <c r="D16" i="2"/>
  <c r="D11" i="2"/>
  <c r="E61" i="2" l="1"/>
  <c r="E60" i="2"/>
  <c r="E62" i="2"/>
  <c r="F55" i="2"/>
  <c r="F62" i="2"/>
  <c r="F52" i="2"/>
  <c r="F61" i="2"/>
  <c r="F51" i="2"/>
  <c r="F60" i="2"/>
  <c r="F50" i="2"/>
  <c r="F46" i="2"/>
  <c r="F47" i="2"/>
  <c r="F45" i="2"/>
  <c r="F41" i="2"/>
  <c r="F40" i="2"/>
  <c r="F29" i="2"/>
  <c r="F39" i="2"/>
  <c r="F36" i="2"/>
  <c r="F35" i="2"/>
  <c r="F34" i="2"/>
  <c r="F30" i="2"/>
  <c r="F31" i="2"/>
  <c r="E34" i="2"/>
  <c r="E41" i="2"/>
  <c r="E40" i="2"/>
  <c r="E31" i="2"/>
  <c r="E39" i="2"/>
  <c r="E30" i="2"/>
  <c r="E29" i="2"/>
  <c r="F9" i="2"/>
  <c r="F20" i="2"/>
  <c r="F8" i="2"/>
  <c r="F19" i="2"/>
  <c r="F18" i="2"/>
  <c r="F14" i="2"/>
  <c r="F15" i="2"/>
  <c r="F13" i="2"/>
  <c r="F10" i="2"/>
  <c r="E20" i="2"/>
  <c r="E19" i="2"/>
  <c r="E18" i="2"/>
  <c r="E15" i="2"/>
  <c r="D6" i="2"/>
  <c r="F4" i="2"/>
  <c r="F25" i="2"/>
  <c r="F24" i="2"/>
  <c r="F26" i="2"/>
  <c r="F3" i="2"/>
  <c r="F5" i="2"/>
  <c r="E25" i="2"/>
  <c r="E24" i="2"/>
  <c r="E26" i="2"/>
  <c r="F48" i="2" l="1"/>
  <c r="K45" i="2" s="1"/>
  <c r="F11" i="2"/>
  <c r="K8" i="2" s="1"/>
  <c r="G15" i="2"/>
  <c r="H15" i="2" s="1"/>
  <c r="G20" i="2"/>
  <c r="H20" i="2" s="1"/>
  <c r="G60" i="2"/>
  <c r="H60" i="2" s="1"/>
  <c r="I60" i="2" s="1"/>
  <c r="G18" i="2"/>
  <c r="H18" i="2" s="1"/>
  <c r="I18" i="2" s="1"/>
  <c r="G19" i="2"/>
  <c r="H19" i="2" s="1"/>
  <c r="I19" i="2" s="1"/>
  <c r="G62" i="2"/>
  <c r="H62" i="2" s="1"/>
  <c r="G61" i="2"/>
  <c r="H61" i="2" s="1"/>
  <c r="I61" i="2" s="1"/>
  <c r="G41" i="2"/>
  <c r="H41" i="2" s="1"/>
  <c r="G39" i="2"/>
  <c r="H39" i="2" s="1"/>
  <c r="I39" i="2" s="1"/>
  <c r="G40" i="2"/>
  <c r="H40" i="2" s="1"/>
  <c r="I40" i="2" s="1"/>
  <c r="F53" i="2"/>
  <c r="F63" i="2"/>
  <c r="G29" i="2"/>
  <c r="H29" i="2" s="1"/>
  <c r="I29" i="2" s="1"/>
  <c r="G30" i="2"/>
  <c r="H30" i="2" s="1"/>
  <c r="I30" i="2" s="1"/>
  <c r="G31" i="2"/>
  <c r="H31" i="2" s="1"/>
  <c r="G34" i="2"/>
  <c r="H34" i="2" s="1"/>
  <c r="I34" i="2" s="1"/>
  <c r="F37" i="2"/>
  <c r="F42" i="2"/>
  <c r="F32" i="2"/>
  <c r="F21" i="2"/>
  <c r="F16" i="2"/>
  <c r="F27" i="2"/>
  <c r="F6" i="2"/>
  <c r="G26" i="2"/>
  <c r="H26" i="2" s="1"/>
  <c r="G24" i="2"/>
  <c r="H24" i="2" s="1"/>
  <c r="I24" i="2" s="1"/>
  <c r="G25" i="2"/>
  <c r="H25" i="2" s="1"/>
  <c r="I25" i="2" s="1"/>
  <c r="E3" i="2"/>
  <c r="G3" i="2" s="1"/>
  <c r="H3" i="2" s="1"/>
  <c r="I3" i="2" s="1"/>
  <c r="E14" i="2"/>
  <c r="G14" i="2" s="1"/>
  <c r="H14" i="2" s="1"/>
  <c r="I14" i="2" s="1"/>
  <c r="J24" i="2" l="1"/>
  <c r="K24" i="2" s="1"/>
  <c r="J60" i="2"/>
  <c r="K60" i="2" s="1"/>
  <c r="J39" i="2"/>
  <c r="K39" i="2" s="1"/>
  <c r="J29" i="2"/>
  <c r="K29" i="2" s="1"/>
  <c r="J18" i="2"/>
  <c r="K18" i="2" s="1"/>
  <c r="L18" i="2" s="1"/>
  <c r="S2" i="7" s="1"/>
  <c r="T2" i="7" s="1"/>
  <c r="U2" i="7" s="1"/>
  <c r="E50" i="2"/>
  <c r="G50" i="2" s="1"/>
  <c r="H50" i="2" s="1"/>
  <c r="I50" i="2" s="1"/>
  <c r="M39" i="2"/>
  <c r="M34" i="2"/>
  <c r="M29" i="2"/>
  <c r="M24" i="2"/>
  <c r="E36" i="2"/>
  <c r="G36" i="2" s="1"/>
  <c r="H36" i="2" s="1"/>
  <c r="E57" i="2"/>
  <c r="F56" i="2"/>
  <c r="F57" i="2"/>
  <c r="E46" i="2"/>
  <c r="G46" i="2" s="1"/>
  <c r="H46" i="2" s="1"/>
  <c r="I46" i="2" s="1"/>
  <c r="E51" i="2"/>
  <c r="G51" i="2" s="1"/>
  <c r="H51" i="2" s="1"/>
  <c r="I51" i="2" s="1"/>
  <c r="E45" i="2"/>
  <c r="G45" i="2" s="1"/>
  <c r="H45" i="2" s="1"/>
  <c r="I45" i="2" s="1"/>
  <c r="E55" i="2"/>
  <c r="G55" i="2" s="1"/>
  <c r="H55" i="2" s="1"/>
  <c r="I55" i="2" s="1"/>
  <c r="E56" i="2"/>
  <c r="G56" i="2" s="1"/>
  <c r="E10" i="2"/>
  <c r="E47" i="2"/>
  <c r="G47" i="2" s="1"/>
  <c r="H47" i="2" s="1"/>
  <c r="E35" i="2"/>
  <c r="G35" i="2" s="1"/>
  <c r="H35" i="2" s="1"/>
  <c r="I35" i="2" s="1"/>
  <c r="J34" i="2" s="1"/>
  <c r="K34" i="2" s="1"/>
  <c r="E52" i="2"/>
  <c r="G52" i="2" s="1"/>
  <c r="H52" i="2" s="1"/>
  <c r="E5" i="2"/>
  <c r="G5" i="2" s="1"/>
  <c r="H5" i="2" s="1"/>
  <c r="E4" i="2"/>
  <c r="E8" i="2"/>
  <c r="E9" i="2"/>
  <c r="E13" i="2"/>
  <c r="J45" i="2" l="1"/>
  <c r="J50" i="2"/>
  <c r="K50" i="2" s="1"/>
  <c r="G57" i="2"/>
  <c r="H57" i="2" s="1"/>
  <c r="F58" i="2"/>
  <c r="H56" i="2"/>
  <c r="I56" i="2" s="1"/>
  <c r="J55" i="2" s="1"/>
  <c r="R4" i="7"/>
  <c r="L60" i="2"/>
  <c r="S4" i="7" s="1"/>
  <c r="T4" i="7" s="1"/>
  <c r="U4" i="7" s="1"/>
  <c r="L34" i="2"/>
  <c r="N3" i="7" s="1"/>
  <c r="O3" i="7" s="1"/>
  <c r="P3" i="7" s="1"/>
  <c r="L24" i="2"/>
  <c r="D3" i="7" s="1"/>
  <c r="E3" i="7" s="1"/>
  <c r="F3" i="7" s="1"/>
  <c r="G9" i="2"/>
  <c r="H9" i="2" s="1"/>
  <c r="I9" i="2" s="1"/>
  <c r="G8" i="2"/>
  <c r="H8" i="2" s="1"/>
  <c r="I8" i="2" s="1"/>
  <c r="G13" i="2"/>
  <c r="H13" i="2" s="1"/>
  <c r="I13" i="2" s="1"/>
  <c r="J13" i="2" s="1"/>
  <c r="K13" i="2" s="1"/>
  <c r="G10" i="2"/>
  <c r="H10" i="2" s="1"/>
  <c r="L39" i="2"/>
  <c r="S3" i="7" s="1"/>
  <c r="T3" i="7" s="1"/>
  <c r="U3" i="7" s="1"/>
  <c r="R3" i="7"/>
  <c r="L29" i="2"/>
  <c r="H3" i="7"/>
  <c r="R2" i="7"/>
  <c r="G4" i="2"/>
  <c r="H4" i="2" s="1"/>
  <c r="I4" i="2" s="1"/>
  <c r="J3" i="2" s="1"/>
  <c r="K3" i="2" s="1"/>
  <c r="J8" i="2" l="1"/>
  <c r="K55" i="2"/>
  <c r="M4" i="7" s="1"/>
  <c r="I3" i="7"/>
  <c r="J3" i="7" s="1"/>
  <c r="K3" i="7" s="1"/>
  <c r="H2" i="7"/>
  <c r="M3" i="7"/>
  <c r="C4" i="7"/>
  <c r="L45" i="2"/>
  <c r="D4" i="7" s="1"/>
  <c r="E4" i="7" s="1"/>
  <c r="F4" i="7" s="1"/>
  <c r="C3" i="7"/>
  <c r="L8" i="2" l="1"/>
  <c r="I2" i="7" s="1"/>
  <c r="J2" i="7" s="1"/>
  <c r="K2" i="7" s="1"/>
  <c r="L55" i="2"/>
  <c r="N4" i="7" s="1"/>
  <c r="O4" i="7" s="1"/>
  <c r="P4" i="7" s="1"/>
  <c r="L13" i="2"/>
  <c r="N2" i="7" s="1"/>
  <c r="O2" i="7" s="1"/>
  <c r="P2" i="7" s="1"/>
  <c r="H4" i="7"/>
  <c r="L50" i="2"/>
  <c r="I4" i="7" s="1"/>
  <c r="J4" i="7" s="1"/>
  <c r="L3" i="2"/>
  <c r="D2" i="7" s="1"/>
  <c r="E2" i="7" s="1"/>
  <c r="F2" i="7" s="1"/>
  <c r="C2" i="7"/>
  <c r="M2" i="7" l="1"/>
  <c r="K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</author>
  </authors>
  <commentList>
    <comment ref="M1" authorId="0" shapeId="0" xr:uid="{49EAB877-877B-42FB-93AC-252A6F7D2C5C}">
      <text>
        <r>
          <rPr>
            <b/>
            <sz val="9"/>
            <color indexed="81"/>
            <rFont val="Tahoma"/>
            <charset val="1"/>
          </rPr>
          <t>SOPORTE:</t>
        </r>
        <r>
          <rPr>
            <sz val="9"/>
            <color indexed="81"/>
            <rFont val="Tahoma"/>
            <charset val="1"/>
          </rPr>
          <t xml:space="preserve">
Convertir a formato General y remplazar , por .</t>
        </r>
      </text>
    </comment>
  </commentList>
</comments>
</file>

<file path=xl/sharedStrings.xml><?xml version="1.0" encoding="utf-8"?>
<sst xmlns="http://schemas.openxmlformats.org/spreadsheetml/2006/main" count="9118" uniqueCount="762">
  <si>
    <t>COP</t>
  </si>
  <si>
    <t>INDUSTRIAL</t>
  </si>
  <si>
    <t>POWER QUALITY</t>
  </si>
  <si>
    <t>Trimestre</t>
  </si>
  <si>
    <t>Subtotal</t>
  </si>
  <si>
    <t>META</t>
  </si>
  <si>
    <t>ELECTROBARRAS</t>
  </si>
  <si>
    <t>CONTENCIÓN TELCO</t>
  </si>
  <si>
    <t>TELECOMUNICACIONES</t>
  </si>
  <si>
    <t>SERVICIOS</t>
  </si>
  <si>
    <t>USD</t>
  </si>
  <si>
    <t>OC</t>
  </si>
  <si>
    <t>P01085</t>
  </si>
  <si>
    <t>P01084</t>
  </si>
  <si>
    <t>P01083</t>
  </si>
  <si>
    <t>P01078</t>
  </si>
  <si>
    <t>P01077</t>
  </si>
  <si>
    <t>P01076</t>
  </si>
  <si>
    <t>P01075</t>
  </si>
  <si>
    <t>P01057</t>
  </si>
  <si>
    <t>P01056</t>
  </si>
  <si>
    <t>P01055</t>
  </si>
  <si>
    <t>P01054</t>
  </si>
  <si>
    <t>P01053</t>
  </si>
  <si>
    <t>P01052</t>
  </si>
  <si>
    <t>P01047</t>
  </si>
  <si>
    <t>P01042</t>
  </si>
  <si>
    <t>P01041</t>
  </si>
  <si>
    <t>P01031</t>
  </si>
  <si>
    <t>P01030</t>
  </si>
  <si>
    <t>P01029</t>
  </si>
  <si>
    <t>P01028</t>
  </si>
  <si>
    <t>P01021</t>
  </si>
  <si>
    <t>P01019</t>
  </si>
  <si>
    <t>P01012</t>
  </si>
  <si>
    <t>P01010</t>
  </si>
  <si>
    <t>P01006</t>
  </si>
  <si>
    <t>P01005</t>
  </si>
  <si>
    <t>P01002</t>
  </si>
  <si>
    <t>P01001</t>
  </si>
  <si>
    <t>P00999</t>
  </si>
  <si>
    <t>P00994</t>
  </si>
  <si>
    <t>P00993</t>
  </si>
  <si>
    <t>P00991</t>
  </si>
  <si>
    <t>P00989</t>
  </si>
  <si>
    <t>P00984</t>
  </si>
  <si>
    <t>P00982</t>
  </si>
  <si>
    <t>P00981</t>
  </si>
  <si>
    <t>P00980</t>
  </si>
  <si>
    <t>P00979</t>
  </si>
  <si>
    <t>P00976</t>
  </si>
  <si>
    <t>P00974</t>
  </si>
  <si>
    <t>P00971</t>
  </si>
  <si>
    <t>P00964</t>
  </si>
  <si>
    <t>P00962</t>
  </si>
  <si>
    <t>P00961</t>
  </si>
  <si>
    <t>P00959</t>
  </si>
  <si>
    <t>P00949</t>
  </si>
  <si>
    <t>P00947</t>
  </si>
  <si>
    <t>P00941</t>
  </si>
  <si>
    <t>P00939</t>
  </si>
  <si>
    <t>P00937</t>
  </si>
  <si>
    <t>P00934</t>
  </si>
  <si>
    <t>P00933</t>
  </si>
  <si>
    <t>P00932</t>
  </si>
  <si>
    <t>P00931</t>
  </si>
  <si>
    <t>P00930</t>
  </si>
  <si>
    <t>P00929</t>
  </si>
  <si>
    <t>P00924</t>
  </si>
  <si>
    <t>P00923</t>
  </si>
  <si>
    <t>P00922</t>
  </si>
  <si>
    <t>P00920</t>
  </si>
  <si>
    <t>P00913</t>
  </si>
  <si>
    <t>P00912</t>
  </si>
  <si>
    <t>P00909</t>
  </si>
  <si>
    <t>P00908</t>
  </si>
  <si>
    <t>P00906</t>
  </si>
  <si>
    <t>P00905</t>
  </si>
  <si>
    <t>CABLOFIL</t>
  </si>
  <si>
    <t>ACCESORIOS</t>
  </si>
  <si>
    <t/>
  </si>
  <si>
    <t>GABINETES</t>
  </si>
  <si>
    <t>PDU</t>
  </si>
  <si>
    <t>FIBRA ÓPTICA</t>
  </si>
  <si>
    <t>PATCH CORD</t>
  </si>
  <si>
    <t>TRANSFORMADORES</t>
  </si>
  <si>
    <t>BREAKERS</t>
  </si>
  <si>
    <t>SENSORES</t>
  </si>
  <si>
    <t>CABLE UTP</t>
  </si>
  <si>
    <t>DUCTO DLP</t>
  </si>
  <si>
    <t>JACKS</t>
  </si>
  <si>
    <t>TARJETAS</t>
  </si>
  <si>
    <t>PUESTA A TIERRA</t>
  </si>
  <si>
    <t>Linea de negocio</t>
  </si>
  <si>
    <t>Factura</t>
  </si>
  <si>
    <t>673301</t>
  </si>
  <si>
    <t>P01162</t>
  </si>
  <si>
    <t>673300</t>
  </si>
  <si>
    <t>P01163</t>
  </si>
  <si>
    <t>673299</t>
  </si>
  <si>
    <t>P01126</t>
  </si>
  <si>
    <t>673257</t>
  </si>
  <si>
    <t>P01161</t>
  </si>
  <si>
    <t>673256</t>
  </si>
  <si>
    <t>P01149</t>
  </si>
  <si>
    <t>673255</t>
  </si>
  <si>
    <t>P01123</t>
  </si>
  <si>
    <t>673254</t>
  </si>
  <si>
    <t>673133</t>
  </si>
  <si>
    <t>P01108</t>
  </si>
  <si>
    <t>673134</t>
  </si>
  <si>
    <t>P01134</t>
  </si>
  <si>
    <t>673022</t>
  </si>
  <si>
    <t>673021</t>
  </si>
  <si>
    <t>672855</t>
  </si>
  <si>
    <t>P01148</t>
  </si>
  <si>
    <t>672757</t>
  </si>
  <si>
    <t>P01150</t>
  </si>
  <si>
    <t>672756</t>
  </si>
  <si>
    <t>672755</t>
  </si>
  <si>
    <t>672754</t>
  </si>
  <si>
    <t>P01112</t>
  </si>
  <si>
    <t>672753</t>
  </si>
  <si>
    <t>P01105</t>
  </si>
  <si>
    <t>672752</t>
  </si>
  <si>
    <t>672751</t>
  </si>
  <si>
    <t>672280</t>
  </si>
  <si>
    <t>P01136</t>
  </si>
  <si>
    <t>672279</t>
  </si>
  <si>
    <t>P01137</t>
  </si>
  <si>
    <t>672278</t>
  </si>
  <si>
    <t>672277</t>
  </si>
  <si>
    <t>672218</t>
  </si>
  <si>
    <t>672217</t>
  </si>
  <si>
    <t>672216</t>
  </si>
  <si>
    <t>672054</t>
  </si>
  <si>
    <t>P00884</t>
  </si>
  <si>
    <t>672053</t>
  </si>
  <si>
    <t>672052</t>
  </si>
  <si>
    <t>672051</t>
  </si>
  <si>
    <t>P01091</t>
  </si>
  <si>
    <t>672050</t>
  </si>
  <si>
    <t>672049</t>
  </si>
  <si>
    <t>671945</t>
  </si>
  <si>
    <t>P01113</t>
  </si>
  <si>
    <t>671944</t>
  </si>
  <si>
    <t>671922</t>
  </si>
  <si>
    <t>671902</t>
  </si>
  <si>
    <t>671901</t>
  </si>
  <si>
    <t>671900</t>
  </si>
  <si>
    <t>671912</t>
  </si>
  <si>
    <t>671712</t>
  </si>
  <si>
    <t>P01119</t>
  </si>
  <si>
    <t>671711</t>
  </si>
  <si>
    <t>P01086</t>
  </si>
  <si>
    <t>671710</t>
  </si>
  <si>
    <t>P01116</t>
  </si>
  <si>
    <t>671709</t>
  </si>
  <si>
    <t>671624</t>
  </si>
  <si>
    <t>671623</t>
  </si>
  <si>
    <t>P01115</t>
  </si>
  <si>
    <t>671622</t>
  </si>
  <si>
    <t>671621</t>
  </si>
  <si>
    <t>671620</t>
  </si>
  <si>
    <t>671580</t>
  </si>
  <si>
    <t>P01107</t>
  </si>
  <si>
    <t>671579</t>
  </si>
  <si>
    <t>671578</t>
  </si>
  <si>
    <t>671452</t>
  </si>
  <si>
    <t>671451</t>
  </si>
  <si>
    <t>671450</t>
  </si>
  <si>
    <t>671351</t>
  </si>
  <si>
    <t>P01106</t>
  </si>
  <si>
    <t>671349</t>
  </si>
  <si>
    <t>P01095</t>
  </si>
  <si>
    <t>671348</t>
  </si>
  <si>
    <t>P01100</t>
  </si>
  <si>
    <t>671347</t>
  </si>
  <si>
    <t>671178</t>
  </si>
  <si>
    <t>671177</t>
  </si>
  <si>
    <t>P01092</t>
  </si>
  <si>
    <t>671165</t>
  </si>
  <si>
    <t>671164</t>
  </si>
  <si>
    <t>671163</t>
  </si>
  <si>
    <t>671162</t>
  </si>
  <si>
    <t>P01087</t>
  </si>
  <si>
    <t>671097</t>
  </si>
  <si>
    <t>670923</t>
  </si>
  <si>
    <t>670922</t>
  </si>
  <si>
    <t>670920</t>
  </si>
  <si>
    <t>670919</t>
  </si>
  <si>
    <t>670918</t>
  </si>
  <si>
    <t>670917</t>
  </si>
  <si>
    <t>670916</t>
  </si>
  <si>
    <t>670915</t>
  </si>
  <si>
    <t>670835</t>
  </si>
  <si>
    <t>670736</t>
  </si>
  <si>
    <t>670743</t>
  </si>
  <si>
    <t>670689</t>
  </si>
  <si>
    <t>670688</t>
  </si>
  <si>
    <t>670371</t>
  </si>
  <si>
    <t>670368</t>
  </si>
  <si>
    <t>670134</t>
  </si>
  <si>
    <t>669999</t>
  </si>
  <si>
    <t>669909</t>
  </si>
  <si>
    <t>669908</t>
  </si>
  <si>
    <t>669907</t>
  </si>
  <si>
    <t>669906</t>
  </si>
  <si>
    <t>669872</t>
  </si>
  <si>
    <t>669871</t>
  </si>
  <si>
    <t>669873</t>
  </si>
  <si>
    <t>669870</t>
  </si>
  <si>
    <t>669869</t>
  </si>
  <si>
    <t>669841</t>
  </si>
  <si>
    <t>669757</t>
  </si>
  <si>
    <t>669693</t>
  </si>
  <si>
    <t>669621</t>
  </si>
  <si>
    <t>669620</t>
  </si>
  <si>
    <t>669401</t>
  </si>
  <si>
    <t>669400</t>
  </si>
  <si>
    <t>669399</t>
  </si>
  <si>
    <t>669398</t>
  </si>
  <si>
    <t>669353</t>
  </si>
  <si>
    <t>P00853</t>
  </si>
  <si>
    <t>669352</t>
  </si>
  <si>
    <t>669351</t>
  </si>
  <si>
    <t>669345</t>
  </si>
  <si>
    <t>669300</t>
  </si>
  <si>
    <t>P00709</t>
  </si>
  <si>
    <t>669104</t>
  </si>
  <si>
    <t>669100</t>
  </si>
  <si>
    <t>669062</t>
  </si>
  <si>
    <t>668999</t>
  </si>
  <si>
    <t>669001</t>
  </si>
  <si>
    <t>669000</t>
  </si>
  <si>
    <t>668998</t>
  </si>
  <si>
    <t>P00887</t>
  </si>
  <si>
    <t>668809</t>
  </si>
  <si>
    <t>668631</t>
  </si>
  <si>
    <t>668632</t>
  </si>
  <si>
    <t>668630</t>
  </si>
  <si>
    <t>P00790</t>
  </si>
  <si>
    <t>668629</t>
  </si>
  <si>
    <t>668628</t>
  </si>
  <si>
    <t>668627</t>
  </si>
  <si>
    <t>P00827</t>
  </si>
  <si>
    <t>668610</t>
  </si>
  <si>
    <t>668609</t>
  </si>
  <si>
    <t>668608</t>
  </si>
  <si>
    <t>668587</t>
  </si>
  <si>
    <t>668591</t>
  </si>
  <si>
    <t>668590</t>
  </si>
  <si>
    <t>668589</t>
  </si>
  <si>
    <t>668588</t>
  </si>
  <si>
    <t>668485</t>
  </si>
  <si>
    <t>668195</t>
  </si>
  <si>
    <t>668194</t>
  </si>
  <si>
    <t>668210</t>
  </si>
  <si>
    <t>P00539</t>
  </si>
  <si>
    <t>667960</t>
  </si>
  <si>
    <t>667954</t>
  </si>
  <si>
    <t>P00833</t>
  </si>
  <si>
    <t>667953</t>
  </si>
  <si>
    <t>P00788</t>
  </si>
  <si>
    <t>667952</t>
  </si>
  <si>
    <t>667950</t>
  </si>
  <si>
    <t>P00792</t>
  </si>
  <si>
    <t>667949</t>
  </si>
  <si>
    <t>P00537</t>
  </si>
  <si>
    <t>P00536</t>
  </si>
  <si>
    <t>667925</t>
  </si>
  <si>
    <t>667924</t>
  </si>
  <si>
    <t>667923</t>
  </si>
  <si>
    <t>667855</t>
  </si>
  <si>
    <t>667853</t>
  </si>
  <si>
    <t>667852</t>
  </si>
  <si>
    <t>667850</t>
  </si>
  <si>
    <t>667849</t>
  </si>
  <si>
    <t>667848</t>
  </si>
  <si>
    <t>667846</t>
  </si>
  <si>
    <t>667845</t>
  </si>
  <si>
    <t>667670</t>
  </si>
  <si>
    <t>667669</t>
  </si>
  <si>
    <t>667668</t>
  </si>
  <si>
    <t>667667</t>
  </si>
  <si>
    <t>667666</t>
  </si>
  <si>
    <t>667665</t>
  </si>
  <si>
    <t>667627</t>
  </si>
  <si>
    <t>667486</t>
  </si>
  <si>
    <t>667485</t>
  </si>
  <si>
    <t>667309</t>
  </si>
  <si>
    <t>667308</t>
  </si>
  <si>
    <t>667307</t>
  </si>
  <si>
    <t>667167</t>
  </si>
  <si>
    <t>667141</t>
  </si>
  <si>
    <t>667033</t>
  </si>
  <si>
    <t>667031</t>
  </si>
  <si>
    <t>P00863</t>
  </si>
  <si>
    <t>667030</t>
  </si>
  <si>
    <t>P00225</t>
  </si>
  <si>
    <t>667029</t>
  </si>
  <si>
    <t>P00831</t>
  </si>
  <si>
    <t>667028</t>
  </si>
  <si>
    <t>P00832</t>
  </si>
  <si>
    <t>667027</t>
  </si>
  <si>
    <t>667026</t>
  </si>
  <si>
    <t>667023</t>
  </si>
  <si>
    <t>667022</t>
  </si>
  <si>
    <t>667021</t>
  </si>
  <si>
    <t>666844</t>
  </si>
  <si>
    <t>666843</t>
  </si>
  <si>
    <t>666842</t>
  </si>
  <si>
    <t>666841</t>
  </si>
  <si>
    <t>666839</t>
  </si>
  <si>
    <t>666838</t>
  </si>
  <si>
    <t>666834</t>
  </si>
  <si>
    <t>666801</t>
  </si>
  <si>
    <t>666701</t>
  </si>
  <si>
    <t>666536</t>
  </si>
  <si>
    <t>666535</t>
  </si>
  <si>
    <t>666534</t>
  </si>
  <si>
    <t>666533</t>
  </si>
  <si>
    <t>666532</t>
  </si>
  <si>
    <t>666531</t>
  </si>
  <si>
    <t>666530</t>
  </si>
  <si>
    <t>666529</t>
  </si>
  <si>
    <t>666528</t>
  </si>
  <si>
    <t>666527</t>
  </si>
  <si>
    <t>666525</t>
  </si>
  <si>
    <t>666524</t>
  </si>
  <si>
    <t>P00760</t>
  </si>
  <si>
    <t>666509</t>
  </si>
  <si>
    <t>666454</t>
  </si>
  <si>
    <t>666214</t>
  </si>
  <si>
    <t>666213</t>
  </si>
  <si>
    <t>666212</t>
  </si>
  <si>
    <t>666211</t>
  </si>
  <si>
    <t>666209</t>
  </si>
  <si>
    <t>P00429</t>
  </si>
  <si>
    <t>666208</t>
  </si>
  <si>
    <t>666207</t>
  </si>
  <si>
    <t>666206</t>
  </si>
  <si>
    <t>666205</t>
  </si>
  <si>
    <t>666204</t>
  </si>
  <si>
    <t>666203</t>
  </si>
  <si>
    <t>P00789</t>
  </si>
  <si>
    <t>666202</t>
  </si>
  <si>
    <t>666201</t>
  </si>
  <si>
    <t>666114</t>
  </si>
  <si>
    <t>P00795</t>
  </si>
  <si>
    <t>665986</t>
  </si>
  <si>
    <t>P00888</t>
  </si>
  <si>
    <t>665985</t>
  </si>
  <si>
    <t>665982</t>
  </si>
  <si>
    <t>665981</t>
  </si>
  <si>
    <t>665980</t>
  </si>
  <si>
    <t>665751</t>
  </si>
  <si>
    <t>665654</t>
  </si>
  <si>
    <t>665653</t>
  </si>
  <si>
    <t>665652</t>
  </si>
  <si>
    <t>P00898</t>
  </si>
  <si>
    <t>665651</t>
  </si>
  <si>
    <t>665650</t>
  </si>
  <si>
    <t>665649</t>
  </si>
  <si>
    <t>P00859</t>
  </si>
  <si>
    <t>665648</t>
  </si>
  <si>
    <t>P00765</t>
  </si>
  <si>
    <t>665647</t>
  </si>
  <si>
    <t>665646</t>
  </si>
  <si>
    <t>665645</t>
  </si>
  <si>
    <t>665644</t>
  </si>
  <si>
    <t>P00828</t>
  </si>
  <si>
    <t>665643</t>
  </si>
  <si>
    <t>665642</t>
  </si>
  <si>
    <t>665641</t>
  </si>
  <si>
    <t>665640</t>
  </si>
  <si>
    <t>665639</t>
  </si>
  <si>
    <t>P00825</t>
  </si>
  <si>
    <t>665638</t>
  </si>
  <si>
    <t>P00796</t>
  </si>
  <si>
    <t>665637</t>
  </si>
  <si>
    <t>665636</t>
  </si>
  <si>
    <t>665635</t>
  </si>
  <si>
    <t>665552</t>
  </si>
  <si>
    <t>665377</t>
  </si>
  <si>
    <t>665375</t>
  </si>
  <si>
    <t>P00762</t>
  </si>
  <si>
    <t>665352</t>
  </si>
  <si>
    <t>[GBH19KIT] KIT DE BARRAJE HORIZONTAL PARA RACK DE 1"X19-1/4"</t>
  </si>
  <si>
    <t>[HDJS6A25] JACK HDJ, CATEGORÍA 6A, F/UTP - U/FTP - S/FTP. 100% METÁLICO, PRECIO POR PAQUETE DE 25 UNIDADES, INCLUYE HERRAMIENTA</t>
  </si>
  <si>
    <t>[033684] Herraje Plano HD Modular 48 Puertos 1U. Incluye 4 modulos deslizables hacía adelante. NO incluye Jacks. Compatible con Jacks HDJ NO blindados, blindados y de fibra óptica. Color: Negro</t>
  </si>
  <si>
    <t>[GB4X20TMGBKIT] Kit PBB / TMGB incluye: · Barraje GB4X20TMGB de 1/4" X 4" X 20".</t>
  </si>
  <si>
    <t>[GB2X10TGB] BARRAJE SECUNDARIO DE PUESTA A TIERRA TELECOMUNICACIONESSBB TGB DE 1/4" X 2" X10" INCLUYE AISLADORES Y ANTIOXIDANTE</t>
  </si>
  <si>
    <t>[RFBA4R25] CAJA DE ACERO PARA CONCRETO DE 4 SALIDAS. COMPATIBLE CON TAPA FPB Y FPC</t>
  </si>
  <si>
    <t>[RFBADEC] Accesorio para toma estilo decorador para cajas RFBA</t>
  </si>
  <si>
    <t>[10802] UNION PARA CUBIERTA DE DUCTO105x50</t>
  </si>
  <si>
    <t>[420720] DPX3 MAGN  250/200A 60KA/240V Interruptor de caja moldeada DPX³ 250 solo magnético fijo - 3P - Icu 36kA (400V~) - In 200A</t>
  </si>
  <si>
    <t>[32162] BANDEJA 48 FIBRAS MULTIMODO 1RU DESLIZABLE INCLUYE: BANDEJA PORTA FUSIONES 24 HILOS, 2 PRENSA ESTOPA PARA ENTRADA FIBRA OPTICA, TORNILOS, 24 ADAPTADORES DUPLEX LC-LC</t>
  </si>
  <si>
    <t>[CM000071] REJILLA CF54/100BSEZ TRAMO 3 METROS</t>
  </si>
  <si>
    <t>[CM000401] REJILLA-CF54/600BSEZ - BANDEJA</t>
  </si>
  <si>
    <t>[3232-W] Tomacorriente dúplex blanca, 15 A 125 V</t>
  </si>
  <si>
    <t>[555439] TEMPRA P17 CLAVIJA 32A 3P+N+T 380-415V IP67</t>
  </si>
  <si>
    <t>[KT2J6A-36] JACK KEYSTONE CAT 6A CLARITY U/UTP 10G AZUL</t>
  </si>
  <si>
    <t>[10953] Marco plano para instalar 3 módulos</t>
  </si>
  <si>
    <t>[076576] Jack categoría 6A para caja 684636, U/UTP - U/FTP - F/UTP - S/FTP, 10Gbps. Color: Blanco, Autoponchable</t>
  </si>
  <si>
    <t>[CM923020-CL] SEPARADOR COT 50MM PERFIL SEP GS 50 GS - 3 Metros</t>
  </si>
  <si>
    <t>[MC6A10-06] PATCH CORD CAT 6A, U/UTP, MOD8,10FT(3 METROS) AZUL</t>
  </si>
  <si>
    <t>[19-84-T4SDA2132] Rack Abierto de 4 postes, 45U, Color Negro.</t>
  </si>
  <si>
    <t>[R8BZ] MULTITOMA PDU BASICA HORIZONTAL 120V 15A NEMA 5-15P 8 SALIDAS NEMA 5-15R SUPRESOR 13KA</t>
  </si>
  <si>
    <t>[HDPSC6A-5PKU] Plug de Ponchado en Campo RJ45 HD Categoría 6A S/FTP - F/UTP - U/FTP - U/UTP. Autoponchable. Unidad</t>
  </si>
  <si>
    <t>[GB4X12J] Barraje Principal de Puesta a Tierra de Telecomunicaciones PBB / TMGB de diseño estándar de 1/4" X 4" X 12"</t>
  </si>
  <si>
    <t xml:space="preserve">[32141] Casete estándar para fusión de fibra óptica, capacidad 1 módulo de fibra óptica, incluye espacio para protectores de fusión para 24 fibras y 2 prensaestopas PG11, compatible </t>
  </si>
  <si>
    <t>[310143] UPS DAKER DK 3000VA 120V UL CON BAT</t>
  </si>
  <si>
    <t>[IG-8300] Tomacorriente duplex con polo a tierra aislado (IG) para computador, grado hospitalario, 20A - 125V AC, NEMA 5-20R</t>
  </si>
  <si>
    <t>[CM923050] UNION COT GS COTJGS</t>
  </si>
  <si>
    <t>[MCZ61010M-02] PATCH CORD 10G,1M ROJO</t>
  </si>
  <si>
    <t>[632906] JACK KEYSTONE CAT 6A U/UTP 10 GBPS METALICO AUTOPONCHABLE</t>
  </si>
  <si>
    <t>[GB30005AB] GA BAT 102UN 009AH 30KW 208V</t>
  </si>
  <si>
    <t>[CM585160] CABLEXIT GS DEV100GS-SAL (BOLSA X 10 PIEZAS)</t>
  </si>
  <si>
    <t>[MCZS6A20M-06] PATCH CORD CAT 6A F/UTP DIÁMETRO REDUCIDO 26AWG 6,2MM 2MTS LZSH AZUL</t>
  </si>
  <si>
    <t>[LG-341964] BANDEJA RETIX LEGRAND 54/300 EZ</t>
  </si>
  <si>
    <t>[827055020000] UPS Forte de 20kVA a 208VAC</t>
  </si>
  <si>
    <t>[CET_225] Celda  para  transformador  seco  hasta 225 kVA -15 kV</t>
  </si>
  <si>
    <t>[220023] MT200 Monitor local Temperatura</t>
  </si>
  <si>
    <t>[MMS-TR] MMS CANAL HD - TRANSFORMADORES</t>
  </si>
  <si>
    <t>[827055030000] UPS Forte de 30kVA a 208VAC</t>
  </si>
  <si>
    <t>[LG-341963] BANDEJA RETIX LEGRAND 54/200 EZ</t>
  </si>
  <si>
    <t>[310952] RAIL KIT RACK DX</t>
  </si>
  <si>
    <t>[3411] FACEPLATE KEYSTONE BLANCO DOS SALIDAS</t>
  </si>
  <si>
    <t>[3410] FACEPLATE KEYSTONE BLANCO UNA SALIDA</t>
  </si>
  <si>
    <t>[632850] HERRAJE 24 PUERTOS PLANO COMPATIBLE CON JACKS KEYSTONE 6A, 6 Y 5E, S/FTP, F/FTP, F/UTP, U/FTP, U/UTP. INCLUYE ORGANIZADOR POSTERIOR</t>
  </si>
  <si>
    <t>[632905] JACK LK63 KEYSTONE CAT 6A, U/UTP-F/UTP-S/FTP, 10 GBPS. 100% METALICO. AUTOPONCHABLE</t>
  </si>
  <si>
    <t>[00691] Patch cord V-series Categoría 6A, U/UTP, 26 AWG 6.2mm, 3ft (1 metro), azul</t>
  </si>
  <si>
    <t>[693] PATCH CORD CAT 6A U/UTP DIÁMETRO REDUCIDO 26 AWG 5FT 6.2 MM 1.5 MTS AZUL</t>
  </si>
  <si>
    <t>[695] PATCH CORD CAT 6A U/UTP 26 AWG 7FT 6.2 MM 2.1 MT AZUL</t>
  </si>
  <si>
    <t>[674] PATCH CORD CAT 6A S/STP DIÁMETRO REDUCIDO 26 AWG 3FT 6.2MM 1MT AZUL</t>
  </si>
  <si>
    <t>[676] PATCH CORD CAT 6A S/STP DIÁMETRO REDUCIDO 26 AWG 5FT 6.2 MM 1.5 MT AZUL</t>
  </si>
  <si>
    <t>[678] [00678] Patch cord V-series Categoría 6A, S/STP,  Diametro Reducido 26 AWG 6.2mm, 7ft (2.1 metros), azul</t>
  </si>
  <si>
    <t>[P1TF4ZRGZZZ002M] Pigtail MM (50/125) Lazer Optimized de 12 fibras, conector LC (PC), OFNR 2m Standard Performance</t>
  </si>
  <si>
    <t>[51871] PATCH CORD CAT 6A S/FTP DIÁMETRO REDUCIDO 26 AWG LSZH 6.2 MM 2MTS ROJO</t>
  </si>
  <si>
    <t>[051870] Patch cord V-series Categoría 6A, S/FTP,  Diametro Reducido 26 AWG 6.2mm, 1 metro, rojo. LSZH</t>
  </si>
  <si>
    <t>[10522] CUBIERTA SENCILLA ANCHO 85MM APLICA COMO CUBIERTA X TRAMO 2MTS</t>
  </si>
  <si>
    <t>[10702] TAPA FINAL</t>
  </si>
  <si>
    <t>[KSFP1-88] Faceplate TechChoice Keystone Blanco 1 Salida</t>
  </si>
  <si>
    <t>[MCZS6A10M-06] Patch cord Clarity Categoría 6A, F/UTP,  Diametro Reducido 26 AWG 6.2mm, 1 metro, azul. LSZH</t>
  </si>
  <si>
    <t>[646005] DONGLE USB</t>
  </si>
  <si>
    <t>[32935] FIBRA OPTICA INDOOR OUTDOOR TUBE OM4 MULTIMODO CON ARMADURA METALICA PROTECCION CONTRA ROEDORES Y HUMEDAD LSZH-FR COLOR AQUA 12 HILOS</t>
  </si>
  <si>
    <t>[SETTA6K-DAKBF-G] SET Transformador Aislamiento 6kVA + Gabinete Daker</t>
  </si>
  <si>
    <t>[GB10506AB] GAB BAT UPS 034 UN 075AH FORTE 040KW 208V</t>
  </si>
  <si>
    <t>[GABBAT40/7AH-DK] GABINETE PARA ALMACENAR 40 BATERIAS DE- 5,7,9 A. PARA UPS 10KVA</t>
  </si>
  <si>
    <t>[684636] Caja IP66 IK08 con tapa semi-transparente para Jack de Comunicaciones 076576, 079476, 076564 y 079464</t>
  </si>
  <si>
    <t>[LEGUFTP6AOPE-00] [LEGUFTP6AOPE-00] Cable categoría 6A Exterior, U/FTP 500Mhz, 10Gbps, 23AWG, color negro. PE. Presentación carrete de 305 metros</t>
  </si>
  <si>
    <t>[OR-MCZS6A10M-06] Patch cord Clarity Categoría 6A, F/UTP,  Diametro Reducido 26 AWG 6.2mm, 1 metros, azul. LSZH</t>
  </si>
  <si>
    <t>[OR-MCZS6A20M-06] Patch cord Clarity Categoría 6A, F/UTP,  Diametro Reducido 26 AWG 6.2mm, 2 metros, azul. LSZH</t>
  </si>
  <si>
    <t>[32175] BANDEJA FO QUICKFIX 1U 4 CAS</t>
  </si>
  <si>
    <t>[32125] ACOPLADOR LC MM 24 H</t>
  </si>
  <si>
    <t>[205KAN9GA-MM] CONECTOR ANAERÓBICO LC MULTIMODO (CONECTORIZACIONTRADICIONAL MEDIANTE PEGANTE EPOXICO)</t>
  </si>
  <si>
    <t>[852-LL2-006-55L] Patch cord V-series de fibra LC-LC Duplex, 50um, Multimodo OM4 Color Aqua. 2 metros</t>
  </si>
  <si>
    <t>[61500858] BREKOUT KIT 12 FIBRAS 2.5 MT</t>
  </si>
  <si>
    <t xml:space="preserve">[93676] Fibra óptica Outdoor loose tube OM4 Armadura dielectrica 12 hilos para protección contra roedores y protección contra humedad. </t>
  </si>
  <si>
    <t>[079476] Jack categoría 6A para caja 684636, U/UTP - U/FTP - F/UTP - S/FTP, 10Gbps. Color: Aluminio, Autoponchable</t>
  </si>
  <si>
    <t>[51780] PATCH CORD CAT 6A S/FTP DIÁMETRO REDUCIDO 26 AWG 6.2MM 1 MT AMARILLO.</t>
  </si>
  <si>
    <t>[51781] PATCH CORD CAT 6A S/FTP DIÁMETRO REDUCIDO 26AWG 6.2MM 2MTS AMARILLO</t>
  </si>
  <si>
    <t>[33683] Herraje Plano HD Modular 24 Puertos 1U. Incluye 4 modulos deslizables hacía adelante. NO incluye Jacks</t>
  </si>
  <si>
    <t>[PX3TS-1876CR] Transferencia automática inteligente para rack 1U 200V - 240V, 24A, Entrada: (2) IEC 60320 C20, Salidas: 8 x IEC C13. Tiempo de Transferencia: 4ms to 8 ms. Capacidad: 3.3 KVA.</t>
  </si>
  <si>
    <t>[PX3TS-1147R-N1] TS 120VAC 1,9KVA 8OUT 8X Input Nema L5-20R</t>
  </si>
  <si>
    <t>[DX2-T2H2] SENSOR TEMPERATURA Y HUMEDAD</t>
  </si>
  <si>
    <t>[GB2X12TGB] BARRAJE PUESTA TIERRA TELECOMU</t>
  </si>
  <si>
    <t>[CM558340] UNION FASLOCK S</t>
  </si>
  <si>
    <t>[CM558320] UNION FASLOCK XL</t>
  </si>
  <si>
    <t>[HDPSC6A-5PK] Plug de Ponchado en Campo RJ45 HD Categoría 6A S/FTP - F/UTP - U/FTP - U/UTP. Autoponchable. Precio por paquete 5 Und</t>
  </si>
  <si>
    <t>[CM558241] UNION EDRN EZ</t>
  </si>
  <si>
    <t>[CM585327] CONE PUESTA TIERRA GRIFEQUIP</t>
  </si>
  <si>
    <t>[827055040000] UPS FORTE 40KVA 208V</t>
  </si>
  <si>
    <t>[BATUPS75A] BATERIA DE 75 AH</t>
  </si>
  <si>
    <t>[GB10507AB] GA BAT 034UN 075AH 50KW 208V</t>
  </si>
  <si>
    <t>[10767] ANGULO PLANO 80X50</t>
  </si>
  <si>
    <t>[827055015000] UPS FORTE 15 KVA 208V</t>
  </si>
  <si>
    <t>[646221] Gabinete de Pared Linkeo Pivotante 9 U 550 mm de ancho 610 mm de Profundidad</t>
  </si>
  <si>
    <t>[32635] PATCH CORD DE FIBRA LCLC DUPLEX 50UM MULTIMODO OM4 2 MTS</t>
  </si>
  <si>
    <t>[205KNT9GA-50T] Conector Pré-pulido (Reutilizable) LC multimodo, empalme mecánico.</t>
  </si>
  <si>
    <t>[TB016101] Servicio Tableros Legrand Cambio de Frente Muerto</t>
  </si>
  <si>
    <t>[PX3-5145R] PDU 1.4 KVA 120V 8 NEMA 5-20R</t>
  </si>
  <si>
    <t>[GB4X20TMGB] BARRAJE PRINCIPAL PUESTA A TIERRA DE TELECOMUNICACIONESPBB/TMGB 1/4"X4"X20"</t>
  </si>
  <si>
    <t>[PA120T90KA] DPS DE 90KA MONOFASICO</t>
  </si>
  <si>
    <t>[310176] UPS DAKER + 6kVA 208V SIN BAT</t>
  </si>
  <si>
    <t>[GB16013DA] Gabinete de baterías Daker 6 x 9/7 Ah</t>
  </si>
  <si>
    <t>[572337] Adaptador para 1 Jack Keystone para Arteor. Color Magnesio. Incluye tapa guardapolvo, 2 Módulos</t>
  </si>
  <si>
    <t>[827055060000] UPS Forte de 60kVA a 208VAC</t>
  </si>
  <si>
    <t>[403622] INT TX3, 63A, 3P, 10kA / 4.5kA (230V/440V)</t>
  </si>
  <si>
    <t>[420041] DPX3 MT 3P 25A 25KA Automático MCCB DPX³ 160 - magnetotérmico - 3P - Icu 25kA (400 V~) - In 25A</t>
  </si>
  <si>
    <t>[AUE2250H1-10AHP] BASIC PDU208V 4.2KV 8C13 2C19</t>
  </si>
  <si>
    <t>[981411] PSU INVERTER ECO-18</t>
  </si>
  <si>
    <t>[CM350575] SBDNGS - SOPORTE CAJA DERIV (Anterior CM585410)</t>
  </si>
  <si>
    <t>[KT2J6A-00] JACK KEYSTONE, CAT 6A CLARITY U/UTP 10G NEGRO</t>
  </si>
  <si>
    <t>[60280424P] SCP ANG VERTI DER SP AL 1250A</t>
  </si>
  <si>
    <t>[60280324P] SCP ANG HORIZ DER SP AL 1250A</t>
  </si>
  <si>
    <t>[60280174P] SCP RECTO AL 1.5M 1250A 3L+N+P</t>
  </si>
  <si>
    <t>[M44ORG39_03M50] ORG VERTICAL 39U CON PUERTA</t>
  </si>
  <si>
    <t>[OFP-LCD12MB] Panel/acoplador LC sextuple módulos duplex multimodo (12 hilos)</t>
  </si>
  <si>
    <t>[FST2-F012] Bandeja de empalme para 12 fusiones</t>
  </si>
  <si>
    <t>[XLOT398080FCPCN] GAB 39U 80X80 PFC PPC NEGRO</t>
  </si>
  <si>
    <t>[806300000181] TARJETA PARALELO</t>
  </si>
  <si>
    <t>[PA120Y90KA] DPS DE 90KA TRTIFASICO</t>
  </si>
  <si>
    <t>[BATUPS7A] BATERÍA UPS 12V 7AH</t>
  </si>
  <si>
    <t>[BATUPS9A] BATERÍA UPS 12V 9AH</t>
  </si>
  <si>
    <t>[12gt9-g] BATERIAS AGM 12V 9AH</t>
  </si>
  <si>
    <t>[55055055-E] MRf plug-in box 125A empty</t>
  </si>
  <si>
    <t>[311028] UPS Keor T Evo de 10kVA</t>
  </si>
  <si>
    <t>[310278] UPS KEOR T 15 KVA 208V</t>
  </si>
  <si>
    <t>[FC00000] TRENZAS FLEXIBLES</t>
  </si>
  <si>
    <t>[BA000000] KIT BANDELLE</t>
  </si>
  <si>
    <t>[50400404] MR 400A Al vertical elbow RH std</t>
  </si>
  <si>
    <t>[50410424] MRf 400A Al vertical elbow RH</t>
  </si>
  <si>
    <t>[50400424] MR 400A Al vertical elbow RH</t>
  </si>
  <si>
    <t>[50400114] MR 400A Al Straight length L=600-1500 feeder</t>
  </si>
  <si>
    <t>[010993] MARCO PLANO PARA INSTALAR 3 MODULOS</t>
  </si>
  <si>
    <t>[810-L47-006] Patch cord V-series de fibra LC-SC Duplex, 9um, Monomodo OS2 Color Amarillo. 2 metros</t>
  </si>
  <si>
    <t>[HDPUC6A-5PK] PLUG CAT 6A U 5PK</t>
  </si>
  <si>
    <t>[78613] Adaptador Angulado para 2 Jacks Keystone para Arteor. Color Blanco. 2 Módulos</t>
  </si>
  <si>
    <t>[310276] UPS 10 KVA KEOR-T EVO</t>
  </si>
  <si>
    <t>[827055010000] UPS Forte de 10kVA a 208VAC</t>
  </si>
  <si>
    <t>[010412] Ducto plástico de 80x50mm, - tramo de 2 metros.</t>
  </si>
  <si>
    <t>[10692] UNIÓN PARA EL CUERPO DEL DUCTO 80x50</t>
  </si>
  <si>
    <t>[10722] Tapa final ducto 50x80</t>
  </si>
  <si>
    <t>[10735] Derivación T.  para ducto 80X50</t>
  </si>
  <si>
    <t>[32744] Protectores de fusion 40 mm</t>
  </si>
  <si>
    <t>[HDJ6A-42] JACK HDJ CAT6A HD CLARITY U/UTP 10G ROJO</t>
  </si>
  <si>
    <t>[40300548-88] FACE PLATE TRAC JACK BLANCO DOS SALIDAS</t>
  </si>
  <si>
    <t>[PX3-5870V] PDU 5KVA 208 24 C13 6 C19 0RU</t>
  </si>
  <si>
    <t>[980733] IGBT DRIVER BOARD 40KVA</t>
  </si>
  <si>
    <t>[632889] Patch cord V-series Categoría 6A, F/UTP, Diametro Reducido 26 AWG 6.0mm, 5 metros, amarillo</t>
  </si>
  <si>
    <t>[MC6A01-06] PATCH CORD CLARITY CAT 6A MOD8 1FT 4P 26AWG PVC 10G 30CM AZUL</t>
  </si>
  <si>
    <t>[33775] JACK CAT 6A F/UTP S/FT PARA PATCH PANEL QUICK FLX 100% MEALICO AUTOPONCHABLE</t>
  </si>
  <si>
    <t>[50401014] MR 400A Al board-trans feed LH</t>
  </si>
  <si>
    <t>[410010100503] CY504 Megatec SNMP Card  20kVA - 125kVA</t>
  </si>
  <si>
    <t>[PX3-5478V] PDU 2.9KV 120 24 NEGRA</t>
  </si>
  <si>
    <t>[SRC-0800] SRC,SMART RACK COTROLLER,INCLUYE: 9 PUERTOS RJ-45 PARA SENSORES</t>
  </si>
  <si>
    <t>[10422] DUCTO PLÁSTICO DE 105MM X 50MM X TRAMO 2MTS</t>
  </si>
  <si>
    <t>[420046] Breaker de 125A</t>
  </si>
  <si>
    <t>[311058] TARJETA SNMP</t>
  </si>
  <si>
    <t>[310938] TARJETA INTERFAZ SNMP CS 101</t>
  </si>
  <si>
    <t>[VWMFK-115] Fan kits include (2) 115VAC fans, power and grounding cord, fan guards, and hardware. Fans deliver 85CFM each. Proved active cooling for wall-mount cabinets.</t>
  </si>
  <si>
    <t>[852-LL2-009-55L] Patch cord V-series de fibra LC-LC Duplex, 50um, Multimodo OM4 Color Aqua. 3 metros</t>
  </si>
  <si>
    <t>[MC6A03-06] Patch cord Clarity Categoría 6A, U/UTP,  MOD8, 3ft (1 metro), azul. CMR</t>
  </si>
  <si>
    <t>[MC6A05-02] Patch cord Clarity Categoría 6A, U/UTP,  MOD8, 5ft (1.5 metros), rojo. CMR</t>
  </si>
  <si>
    <t>[CLD45U8012_M50] Frame45 u 800x1200mm</t>
  </si>
  <si>
    <t>[CLD45U800SV80M5] Puerta Sencilla 45u 800x 1200</t>
  </si>
  <si>
    <t>[CLD45U800DV80M5] Puerta doble 45u 800x 1200</t>
  </si>
  <si>
    <t>[CLDSPH45U120M50] Side paneles</t>
  </si>
  <si>
    <t>[CLDOR45_02M50] Organizador Vertical</t>
  </si>
  <si>
    <t>[PDUHM01_M50] Kit de Soporte para PDU, Capacidad 1 PDU</t>
  </si>
  <si>
    <t>[TKRPNYM10X70] Levelling Feet</t>
  </si>
  <si>
    <t>[KFS6X15_50] Kit de Tuercas (50 Und) + Arandelas Plásticas (50 Und) + Tornillos M6 (50 Und)</t>
  </si>
  <si>
    <t>[32177] Bandeja de fibra QuickFix HD 1 RU Deslizable * Capacidad 16 casetes standard o 32 casetes Slim (hasta 384 hilos) * Montaje QuickFix no require tornillos de fijación * Incluye organizador frontal y organizador posterior</t>
  </si>
  <si>
    <t>[33757] Cassette ciego para bandejas 032175, 032176 y 032177</t>
  </si>
  <si>
    <t>[32231] PIGTAIL 50/125UM OM4 PC LC 1 MT LSZH</t>
  </si>
  <si>
    <t>[GB4X12TMGBKIT] KIT Fabricado con cobre electrolítico duro de aleación 110 y 1/4” de espesor.  Incluye aisladores de 1-1/2” y soportes de montaje de acero inoxidable de 1”. Incluye un tubo de antioxidante de 1/2 oz.  Cumple con los estandares ANSI EIA/TIA J-STD 607A. Listado UL. Dimensiones del Barraje: 20” W x 4” H, 24 juegos de perforaciones de 5/16” y 6 juegos de perforaciones de 7/16”.</t>
  </si>
  <si>
    <t>[32124] Modulo LC Multimodo 12 hilos. Compatibles con Casetes y bandejas QuickFix</t>
  </si>
  <si>
    <t>[SWM26RUPL-26-26] GAB SW 26 RU PLEXIGLASS</t>
  </si>
  <si>
    <t>[M44PEB19-01] KIT DE TIERRA 19"</t>
  </si>
  <si>
    <t>[GABBAT-579AH-DK] GAB EXT 20 BAT DK 5-7-9AH</t>
  </si>
  <si>
    <t>[GB20003AB] GAB BAT UPS 068 UN 009AH FORTE 015KW 208V</t>
  </si>
  <si>
    <t>[GB10610AB] GAB BAT UPS 034 UN 0100AH FORTE 100KW 208V</t>
  </si>
  <si>
    <t>[50400425] MR ANG ESP VERT DER 630A</t>
  </si>
  <si>
    <t>[50403102] MR IP55 end cover</t>
  </si>
  <si>
    <t>[50403711] "Soporte de suspensión para elementos  verticales, indicados para conectores  principales hasta de 4 m"</t>
  </si>
  <si>
    <t>[50403712] MR spring bracket for rising main</t>
  </si>
  <si>
    <t>[50632003] MR fixing kit hanger SIZE B</t>
  </si>
  <si>
    <t>[50400145-E] MR R2V AL 1-1.5M 630A 3L+N+P E</t>
  </si>
  <si>
    <t>[50400155-E] MR R4V AL 1.5-3M 630A 3L+N+P E</t>
  </si>
  <si>
    <t>[VMR0630AAL] MR VENTANA DER 0630A</t>
  </si>
  <si>
    <t>[MCZ61010M-06] PATCH CORD CLARITY CAT 6A UTP 10G 1M AZUL</t>
  </si>
  <si>
    <t>[646003] SENSOR INALAM TEMP/HUME</t>
  </si>
  <si>
    <t>[GB10508AB] GAB BAT UPS 034 UN 075AH FORTE 060KW 208V</t>
  </si>
  <si>
    <t>[LG11301] DPS para UPS Bifasicas y Trifasicas de 200kA</t>
  </si>
  <si>
    <t>[10916] MARCO UNIVERSAL PARA MONTAR FACEPLATE O PLACAS</t>
  </si>
  <si>
    <t>[010736] Derivación T. (Para interpretación (1) y (2) ver nota)</t>
  </si>
  <si>
    <t>[10785] Ángulo plano variable</t>
  </si>
  <si>
    <t>[GB11716AC] GA BAT 060UN 150AH 160KVA 400V</t>
  </si>
  <si>
    <t>[BATUPS150A] BATERIA 150AH</t>
  </si>
  <si>
    <t>[MMCFAN-4-50] KIT VENTILADOR</t>
  </si>
  <si>
    <t>[407803] INT DX3, 32A, 2P, 25kA / 8kA (230V/440V)</t>
  </si>
  <si>
    <t>[407805] INT DX3, 50A, 2P, 25kA / 8kA (230V/440V)</t>
  </si>
  <si>
    <t>[827055100000] UPS Forte de 100kVA a 208VAC</t>
  </si>
  <si>
    <t>[828R-TCAL] Tapa en Aluminio Cepillado para una toma eléctrica doble ojo, aplica a caja 880MP.</t>
  </si>
  <si>
    <t>[60390336P] SCP ANG HORIZ IZQ SP AL 3200A</t>
  </si>
  <si>
    <t>[50400116] MR REC AL 0.6-1.5M800A 3L+N+PE</t>
  </si>
  <si>
    <t>[60280434P] SCP ANG VERTI IZQ SP AL 1250A</t>
  </si>
  <si>
    <t>[60280414P] SCP ANG VERTI IZQ ST AL 1250A</t>
  </si>
  <si>
    <t>[PX3-1870V] PDU Inteligente, Entrada: NEMA L6-30P 208V, 5kVA, Salidas: (24)</t>
  </si>
  <si>
    <t>[33790] Herraje Plano Quick-Fix HD 24 Puertos 1U, U/UTP - F/UTP - S/FTP para CAT 8, CAT 6A, CAT 6 y CAT 5E</t>
  </si>
  <si>
    <t>[7712BCS20R] Mutitoma de 12 salidas con cable de 1.8m, con supresor de 13kA.</t>
  </si>
  <si>
    <t>[ZPE-BSR-48-4G-W5-D128G] ZPE Nodegrid Bold SR. 8X RJ45 Serial rolled, 5X GbE, 4-core Intel 64bit CPU, 8GB DDR4, 32GB SLC, 4G LTE (CAT12), Wi-Fi 5 (866Mbps 2X2 dual stream 802.11ac), Disk2:128GB para aplicaciones de terceros. Una fuente de alimentación AC con cabo.</t>
  </si>
  <si>
    <t>[40300548] FACEPLATE TRAC JACK BLANCO MARFIL DOS SALIDAS</t>
  </si>
  <si>
    <t>[10996] Marco plano para instalar 6 módulos</t>
  </si>
  <si>
    <t>[PA120Y] DPS 80 KA COMPACTO TRIFASICO 208/120 (3F+N+T)</t>
  </si>
  <si>
    <t>[HDJ6A-00] Jack HDJ, categoría 6A, Clarity, U/UTP 10G negro</t>
  </si>
  <si>
    <t>[446897] Kit de Soporte para PDU, Capacidad 1 PDU</t>
  </si>
  <si>
    <t>[828GFITCAL] Tapa en Aluminio Cepillado para una toma de datos, aplica a caja 880MP.</t>
  </si>
  <si>
    <t>[CPF01] Confinamiento de Pasillo Frio</t>
  </si>
  <si>
    <t>[GB4X12TMGB] Barraje Principal de Puesta a Tierra de Telecomunicaciones PBB / TMGB de 1/4" X 4" X 12". Incluye Aisladores y Antioxidante.</t>
  </si>
  <si>
    <t>Categoria</t>
  </si>
  <si>
    <t>Subcategoria</t>
  </si>
  <si>
    <t>TOMAS ELECTRICAS</t>
  </si>
  <si>
    <t>RTS</t>
  </si>
  <si>
    <t>ORGANIZADORES</t>
  </si>
  <si>
    <t>Fecha</t>
  </si>
  <si>
    <t>Producto</t>
  </si>
  <si>
    <t>Cantidad Facturada</t>
  </si>
  <si>
    <t>Moneda</t>
  </si>
  <si>
    <t>Precio Unitario</t>
  </si>
  <si>
    <t>P01181</t>
  </si>
  <si>
    <t>P01180</t>
  </si>
  <si>
    <t>P01141</t>
  </si>
  <si>
    <t>P01140</t>
  </si>
  <si>
    <t>P01125</t>
  </si>
  <si>
    <t>[KP9999] Caja de escritorio de quorum, incluyeuna toma electrica precableada, tapa color negro</t>
  </si>
  <si>
    <t>[63281002P] XCP-HP Al 1000A board-trans feed RH std</t>
  </si>
  <si>
    <t>[63280182P] XCP-HP Al 1000A feeder element L=2001-2500</t>
  </si>
  <si>
    <t>[63280312P] XCPH ANG HZ STD IZ T1 1000A AL</t>
  </si>
  <si>
    <t>[63280102P] XCPH TR 3M 1000A AL</t>
  </si>
  <si>
    <t>[63280412P] XCPH ANG VE STD IZ T1 1000A AL</t>
  </si>
  <si>
    <t>[63280172P] XCPH TR 1-1,5M 1000A AL</t>
  </si>
  <si>
    <t>[63280402P] XCPH ANG VE STD DR T2 1000A AL</t>
  </si>
  <si>
    <t>[63280152P] XCPH TR 2,5-2,9M 1000A AL</t>
  </si>
  <si>
    <t>[63280302P] XCPH ANG HZ STD DR T2 1000A AL</t>
  </si>
  <si>
    <t>[6MJ00000P] Tapa Electrobarra 1000A</t>
  </si>
  <si>
    <t>[63280232P-E] XCP-HP Al 1000A straight length L=3 m+outl. Spec</t>
  </si>
  <si>
    <t>[63280432P] XCPH ANG VE ESP IZ T1 1000A AL</t>
  </si>
  <si>
    <t>[63280122P] XCPH TR 1,5-2M 1000A AL</t>
  </si>
  <si>
    <t>[63280352P] XCP-HP Al 1000A dou. horiz. elbow LH</t>
  </si>
  <si>
    <t>[63280342P] XCP-HP Al 1000A dou. horiz. elbow RH</t>
  </si>
  <si>
    <t>[63280452P] XCP-HP Al 1000A double vertical elbow LH</t>
  </si>
  <si>
    <t>[63280442P] XCP-HP Al 1000A double vertical elbow RH</t>
  </si>
  <si>
    <t>[63280232P] XCP-HP Al 1000A straight length L=3 m+outl. Spec</t>
  </si>
  <si>
    <t>[50484005-E] Caja SCP Plug-in T2, 250A</t>
  </si>
  <si>
    <t>[27125] Interruptor Termomagnético Fijo DRX_250, 3P, 150A, Icu 65KA/220V</t>
  </si>
  <si>
    <t>[50484003-E] Caja SCP Plug-in T1, 160A</t>
  </si>
  <si>
    <t>[63280722P] XCP-HP Al 1000A horizontal T-element T3</t>
  </si>
  <si>
    <t>[63280332P] XCPH ANG HZ ESP IZ T1 1000A AL</t>
  </si>
  <si>
    <t>[63281012P] XCPH CONE IZ T1 1000A AL</t>
  </si>
  <si>
    <t>[63281022P] XCP-HP Al 1000A board-trans feed RH</t>
  </si>
  <si>
    <t>[VSCP1000AAL] SCP R+V AL 3M 1000A 3L+N+PE E</t>
  </si>
  <si>
    <t>[50484006] Descripcion no disponible</t>
  </si>
  <si>
    <t>[CAP1000A] CAPOTA ELECTROBARRA X 1MT 1000A</t>
  </si>
  <si>
    <t>[50401008] MR UNID ALIME DEREC AL 500A</t>
  </si>
  <si>
    <t>[50400128] MR REC AL 1.5-3M 500A 3L+N+PE</t>
  </si>
  <si>
    <t>[50400318] MR ANG HORIZ IZQ AL 500A</t>
  </si>
  <si>
    <t>[50400248] MR REC AL 3M 500A 3L+N+PE</t>
  </si>
  <si>
    <t>[50400408] MR ANG VERT DER AL 500A</t>
  </si>
  <si>
    <t>[50400148] MR REC2V AL 1-1.5M 500A 3L+N+P</t>
  </si>
  <si>
    <t>[50400118] MR REC AL 0.6-1.5M 500A 3L+N+P</t>
  </si>
  <si>
    <t>[50400568] MR 500A AL ANG.VE.SX+HOR DX T3</t>
  </si>
  <si>
    <t>[50400428] MR ANG ESP VERT DER 500A</t>
  </si>
  <si>
    <t>[50400438] MR ANG ESP VERT IZQ 500A</t>
  </si>
  <si>
    <t>[50400308] MR ANG HORIZ DER AL 500A</t>
  </si>
  <si>
    <t>[50400338] MR ANG ESP HORIZ IZQ 500A</t>
  </si>
  <si>
    <t>[50400328] MR ANG ESP HORIZ DER 500A</t>
  </si>
  <si>
    <t>[50401018] MR UNID ALIME IZQ AL 500A</t>
  </si>
  <si>
    <t>[CAP500] CAPOTA ELECTROBARRA X 1MT 500A</t>
  </si>
  <si>
    <t>[RFBADP] Accesorio para una toma doble ojo para cajas RFBA</t>
  </si>
  <si>
    <t>[ST15KT1DY] Transformador de Aislamiento de entrada</t>
  </si>
  <si>
    <t>[981412] 10-60 KVA KEOR T EVO RECT CONTROL BOARD</t>
  </si>
  <si>
    <t>[HDPSC6A-5PK] Plug de Ponchado en Campo RJ45 HD Categoría 6A S/FTP - F/UTP - U/FTP - U/UTP. Autoponchable.</t>
  </si>
  <si>
    <t>[32624] PIGTAIL SM 12F CON LCOFNR 1M CAJA PRESENTACION CAJA X 12 UND</t>
  </si>
  <si>
    <t>[810-LL7-009] Patch cord V-series de fibra LC-LC Duplex, 9um, Monomodo OS2 Color Amarillo. 3 metros</t>
  </si>
  <si>
    <t>[32165] Bandeja de fibra 48 Fibras 1 RU Deslizable.  Bandeja pre-armada para 48 Fibras Monomodo, Incluye:  * Bandeja de protección de fusiones para 48 hilos * 2 prensaestopas para la entrada de la fibra óptica * Tornillos de Fijación * 24 Adaptadores duplex LC - LC</t>
  </si>
  <si>
    <t>[GB2X10TGB] BARRAJE SECUNDARIO DE PUESTA A TIERRA TELECOMUNICACIONESSBB TGB DE 1/4" X 4" X10" INCLUYE AISLADORES Y ANTIOXIDANTE</t>
  </si>
  <si>
    <t>[310873] MOD POTEN TRI/ARCHIMOD 6.7KVA</t>
  </si>
  <si>
    <t>[93676] Fibra óptica Outdoor loose tube OM4 Armadura dielectrica 12 hilos para protección contra roedores y protección contra humedad. x Metro Lineal</t>
  </si>
  <si>
    <t>[HDJS6A25] JACK HDJ, CATEGORÍA 6A, F/UTP - U/FTP - S/FTP. 100% METÁLICO, PRECIO POR PAQUETE DE 25 UNIDADES, INCLUYE HERRAMIENTA, paquete de 25 unidades</t>
  </si>
  <si>
    <t>[827055020000] Forte de 20kVA a 208VAC</t>
  </si>
  <si>
    <t>[CM000091] REJILLA CF54/200BSEZ TRAMO 3 METROS</t>
  </si>
  <si>
    <t>[CM000201] CF54/400BSEZ - BANDEJA TRAMO 3m</t>
  </si>
  <si>
    <t>SERVICIO TABLEROS LEGRAND</t>
  </si>
  <si>
    <t>.</t>
  </si>
  <si>
    <t>[MC6A10-02] Patch cord Clarity Categoría 6A, U/UTP, MOD8, 10ft (3 metros), rojo. CMR</t>
  </si>
  <si>
    <t>JACK KEYSTONE, CAT 6A CLARITY U/UTP 10G NEGRO</t>
  </si>
  <si>
    <t>[HDPSC6A-5PKU] Plug de Ponchado en Campo RJ45 HD Categoría 6A S/FTP - F/UTP - U/FTP - U/UTP. Autoponchable.</t>
  </si>
  <si>
    <t>[827055010000] Forte de 10kVA a 208VAC</t>
  </si>
  <si>
    <t>[310176] DAKER + 6kVA 208V SIN BAT</t>
  </si>
  <si>
    <t>[33775] JACK CAT 6A F/UTP S/FT PARA PATCH PANEL QUICK FLX 100% MEALICO AUTOPONCHABLE Paquete x 6 Unidades</t>
  </si>
  <si>
    <t>[GB10506AB-3A] GAB BAT UPS 034 UN 075AH FORTE 040KW 208V - GAREXTUPS</t>
  </si>
  <si>
    <t>Proveedor</t>
  </si>
  <si>
    <t>FACTURADO</t>
  </si>
  <si>
    <t>COMPRADO</t>
  </si>
  <si>
    <t>Mes</t>
  </si>
  <si>
    <t>Subtotal Real</t>
  </si>
  <si>
    <t>MES</t>
  </si>
  <si>
    <t>ENERO</t>
  </si>
  <si>
    <t>FEBRERO</t>
  </si>
  <si>
    <t>MARZO</t>
  </si>
  <si>
    <t>BACK ORDER</t>
  </si>
  <si>
    <t>Fecha Factura</t>
  </si>
  <si>
    <t>Fecha Compra</t>
  </si>
  <si>
    <t>OC ANTIGUA</t>
  </si>
  <si>
    <t>FACTURADO Q</t>
  </si>
  <si>
    <t>FACTURADO ANTERIOR</t>
  </si>
  <si>
    <t>Q1</t>
  </si>
  <si>
    <t>ELECTROBARRAS Y TRAFOS</t>
  </si>
  <si>
    <t>Q2</t>
  </si>
  <si>
    <t>Q3</t>
  </si>
  <si>
    <t>Q4</t>
  </si>
  <si>
    <t>% CUMPLIMIENTO</t>
  </si>
  <si>
    <t>% REBATE</t>
  </si>
  <si>
    <t>TOTALES</t>
  </si>
  <si>
    <t>TOTAL Q1</t>
  </si>
  <si>
    <t>% CUMPLIMIENTO Q1</t>
  </si>
  <si>
    <t>PTE x FACTURAR</t>
  </si>
  <si>
    <t>TOTAL Q2</t>
  </si>
  <si>
    <t>% CUMPLIMIENTO Q2</t>
  </si>
  <si>
    <t>TOTAL Q3</t>
  </si>
  <si>
    <t>% CUMPLIMIENTO Q3</t>
  </si>
  <si>
    <t>TOTAL Q4</t>
  </si>
  <si>
    <t>% CUMPLIMIENTO Q4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</si>
  <si>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</si>
  <si>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</si>
  <si>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</si>
  <si>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</si>
  <si>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</si>
  <si>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</si>
  <si>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</si>
  <si>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</si>
  <si>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</si>
  <si>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REBATE ESPERADO $</t>
  </si>
  <si>
    <t>DC &amp; DC</t>
  </si>
  <si>
    <t>TOTAL ELECTROBARRAS Q1</t>
  </si>
  <si>
    <t>TOTAL ELECTROBARRAS Q2</t>
  </si>
  <si>
    <t>TOTAL ELECTROBARRAS Q3</t>
  </si>
  <si>
    <t>TOTAL ELECTROBARRAS Q4</t>
  </si>
  <si>
    <t>META Q1</t>
  </si>
  <si>
    <t>META Q2</t>
  </si>
  <si>
    <t>META Q3</t>
  </si>
  <si>
    <t>META Q4</t>
  </si>
  <si>
    <t>673842</t>
  </si>
  <si>
    <t>673841</t>
  </si>
  <si>
    <t>673840</t>
  </si>
  <si>
    <t>673822</t>
  </si>
  <si>
    <t>673810</t>
  </si>
  <si>
    <t>673797</t>
  </si>
  <si>
    <t>673796</t>
  </si>
  <si>
    <t>673795</t>
  </si>
  <si>
    <t>673794</t>
  </si>
  <si>
    <t>P01185</t>
  </si>
  <si>
    <t>PHYSICAL SUPPORT</t>
  </si>
  <si>
    <t>[4419ZC] ELECTROBARRA MR MEDIA P MANUF Curva  vertical + Conector 50401005+50400435</t>
  </si>
  <si>
    <t>LEGRAND COLOMBIA S.A</t>
  </si>
  <si>
    <t>P01197</t>
  </si>
  <si>
    <t>P01193</t>
  </si>
  <si>
    <t>P01184</t>
  </si>
  <si>
    <t>ELECTRO REY S.A.S.</t>
  </si>
  <si>
    <t>[60250100P] SCP 2N AL 630A E REC 3M</t>
  </si>
  <si>
    <t>[LG-932746] Cable categoría 6A, U/UTP 500Mhz, 10G, 23AWG, color gris claro. PVC. 
Presentación carrete de 500 metros</t>
  </si>
  <si>
    <t>[572837] Adaptador para 1 Jack Keystone para Arteor. Color Magnesio. Incluye tapa guardapolvo, 2 Módulos</t>
  </si>
  <si>
    <t>[27105] INTERRUP DRX 3P,250A,ICU 35KA</t>
  </si>
  <si>
    <t>Uso</t>
  </si>
  <si>
    <t>no</t>
  </si>
  <si>
    <t>Trimestre Compra</t>
  </si>
  <si>
    <t>NO</t>
  </si>
  <si>
    <t>SI</t>
  </si>
  <si>
    <t>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</si>
</sst>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yyyy\-mm\-dd\ hh:mm:ss"/>
    <numFmt numFmtId="165" formatCode="yyyy\-mm\-dd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0" xfId="0" applyFont="1" applyFill="1"/>
    <xf numFmtId="44" fontId="1" fillId="2" borderId="0" xfId="1" applyFont="1" applyFill="1" applyAlignment="1"/>
    <xf numFmtId="2" fontId="1" fillId="0" borderId="0" xfId="0" applyNumberFormat="1" applyFont="1"/>
    <xf numFmtId="3" fontId="0" fillId="0" borderId="0" xfId="0" applyNumberFormat="1"/>
    <xf numFmtId="1" fontId="0" fillId="0" borderId="0" xfId="0" applyNumberFormat="1"/>
    <xf numFmtId="1" fontId="0" fillId="0" borderId="0" xfId="1" applyNumberFormat="1" applyFont="1" applyAlignment="1"/>
    <xf numFmtId="0" fontId="0" fillId="3" borderId="0" xfId="0" applyFill="1"/>
    <xf numFmtId="44" fontId="0" fillId="0" borderId="0" xfId="1" applyFont="1"/>
    <xf numFmtId="44" fontId="0" fillId="0" borderId="0" xfId="1" applyFont="1" applyAlignment="1"/>
    <xf numFmtId="165" fontId="0" fillId="0" borderId="0" xfId="0" applyNumberFormat="1"/>
    <xf numFmtId="0" fontId="1" fillId="3" borderId="0" xfId="0" applyFont="1" applyFill="1"/>
    <xf numFmtId="0" fontId="1" fillId="4" borderId="0" xfId="0" applyFont="1" applyFill="1"/>
    <xf numFmtId="14" fontId="0" fillId="0" borderId="0" xfId="0" applyNumberFormat="1"/>
    <xf numFmtId="14" fontId="1" fillId="4" borderId="0" xfId="0" applyNumberFormat="1" applyFont="1" applyFill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44" fontId="1" fillId="0" borderId="0" xfId="1" applyFont="1" applyBorder="1" applyAlignment="1">
      <alignment horizontal="left"/>
    </xf>
    <xf numFmtId="9" fontId="0" fillId="0" borderId="1" xfId="0" applyNumberFormat="1" applyBorder="1" applyAlignment="1">
      <alignment horizontal="center" vertical="center"/>
    </xf>
    <xf numFmtId="44" fontId="0" fillId="0" borderId="0" xfId="0" applyNumberFormat="1"/>
    <xf numFmtId="4" fontId="0" fillId="3" borderId="0" xfId="0" applyNumberFormat="1" applyFill="1"/>
    <xf numFmtId="44" fontId="5" fillId="0" borderId="0" xfId="1" applyFont="1" applyAlignment="1"/>
    <xf numFmtId="0" fontId="1" fillId="0" borderId="1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22E3-5776-43B7-B210-7C6AC70E36A9}">
  <dimension ref="A1:U9"/>
  <sheetViews>
    <sheetView workbookViewId="0">
      <selection activeCell="I3" sqref="I3"/>
    </sheetView>
  </sheetViews>
  <sheetFormatPr baseColWidth="10" defaultRowHeight="14.4" x14ac:dyDescent="0.3"/>
  <cols>
    <col min="1" max="1" width="24.5546875" bestFit="1" customWidth="1"/>
    <col min="2" max="2" width="19.33203125" bestFit="1" customWidth="1"/>
    <col min="3" max="3" width="18.33203125" bestFit="1" customWidth="1"/>
    <col min="4" max="4" width="17.44140625" bestFit="1" customWidth="1"/>
    <col min="6" max="6" width="18.88671875" bestFit="1" customWidth="1"/>
    <col min="7" max="7" width="19.33203125" bestFit="1" customWidth="1"/>
    <col min="8" max="8" width="18.33203125" bestFit="1" customWidth="1"/>
    <col min="9" max="9" width="17.44140625" bestFit="1" customWidth="1"/>
    <col min="11" max="11" width="18.88671875" bestFit="1" customWidth="1"/>
    <col min="12" max="12" width="19.33203125" bestFit="1" customWidth="1"/>
    <col min="13" max="13" width="16.6640625" bestFit="1" customWidth="1"/>
    <col min="14" max="14" width="17.44140625" bestFit="1" customWidth="1"/>
    <col min="16" max="16" width="18.88671875" bestFit="1" customWidth="1"/>
    <col min="17" max="17" width="19.33203125" bestFit="1" customWidth="1"/>
    <col min="18" max="18" width="15.5546875" bestFit="1" customWidth="1"/>
    <col min="19" max="19" width="17.44140625" bestFit="1" customWidth="1"/>
    <col min="21" max="21" width="18.88671875" bestFit="1" customWidth="1"/>
    <col min="22" max="22" width="16.88671875" customWidth="1"/>
  </cols>
  <sheetData>
    <row r="1" spans="1:21" x14ac:dyDescent="0.3">
      <c r="B1" s="29" t="s">
        <v>731</v>
      </c>
      <c r="C1" s="21" t="s">
        <v>699</v>
      </c>
      <c r="D1" s="21" t="s">
        <v>704</v>
      </c>
      <c r="E1" s="21" t="s">
        <v>705</v>
      </c>
      <c r="F1" s="21" t="s">
        <v>725</v>
      </c>
      <c r="G1" s="29" t="s">
        <v>732</v>
      </c>
      <c r="H1" s="21" t="s">
        <v>701</v>
      </c>
      <c r="I1" s="21" t="s">
        <v>704</v>
      </c>
      <c r="J1" s="21" t="s">
        <v>705</v>
      </c>
      <c r="K1" s="21" t="s">
        <v>725</v>
      </c>
      <c r="L1" s="29" t="s">
        <v>733</v>
      </c>
      <c r="M1" s="21" t="s">
        <v>702</v>
      </c>
      <c r="N1" s="21" t="s">
        <v>704</v>
      </c>
      <c r="O1" s="21" t="s">
        <v>705</v>
      </c>
      <c r="P1" s="21" t="s">
        <v>725</v>
      </c>
      <c r="Q1" s="29" t="s">
        <v>734</v>
      </c>
      <c r="R1" s="21" t="s">
        <v>703</v>
      </c>
      <c r="S1" s="21" t="s">
        <v>704</v>
      </c>
      <c r="T1" s="21" t="s">
        <v>705</v>
      </c>
      <c r="U1" s="21" t="s">
        <v>725</v>
      </c>
    </row>
    <row r="2" spans="1:21" x14ac:dyDescent="0.3">
      <c r="A2" s="5" t="s">
        <v>1</v>
      </c>
      <c r="B2" s="23">
        <v>80000000</v>
      </c>
      <c r="C2" s="23">
        <f>Tablas!K3</f>
        <v>13884841.260000002</v>
      </c>
      <c r="D2" s="30">
        <f>Tablas!L3</f>
        <v>0.17356051575000003</v>
      </c>
      <c r="E2" s="34">
        <f>IF(D2&lt;100%,0%,IF(AND(D2&gt;=100%,D2&lt;110%),100%,IF(AND(D2&gt;=110%,D2&lt;120%),130%,150%)))</f>
        <v>0</v>
      </c>
      <c r="F2" s="25">
        <f>IF(E2=100%,C2*0.04,IF(E2=130%,C2*0.052,IF(E2=150%,C2*0.06,0)))</f>
        <v>0</v>
      </c>
      <c r="G2" s="23">
        <v>100000000</v>
      </c>
      <c r="H2" s="23">
        <f>Tablas!K8</f>
        <v>112014313.84</v>
      </c>
      <c r="I2" s="30">
        <f>Tablas!L8</f>
        <v>1.1201431384</v>
      </c>
      <c r="J2" s="34">
        <f>IF(I2&lt;100%,0%,IF(AND(I2&gt;=100%,I2&lt;110%),100%,IF(AND(I2&gt;=110%,I2&lt;120%),130%,150%)))</f>
        <v>1.3</v>
      </c>
      <c r="K2" s="25">
        <f>IF(J2=100%,H2*0.04,IF(J2=130%,H2*0.052,IF(J2=150%,H2*0.06,0)))</f>
        <v>5824744.3196799997</v>
      </c>
      <c r="L2" s="23">
        <v>120000000</v>
      </c>
      <c r="M2" s="23">
        <f>Tablas!K13</f>
        <v>53318322.980000004</v>
      </c>
      <c r="N2" s="30">
        <f>Tablas!L13</f>
        <v>0.44431935816666668</v>
      </c>
      <c r="O2" s="34">
        <f>IF(N2&lt;100%,0%,IF(AND(N2&gt;=100%,N2&lt;110%),100%,IF(AND(N2&gt;=110%,N2&lt;120%),130%,150%)))</f>
        <v>0</v>
      </c>
      <c r="P2" s="25">
        <f>IF(O2=100%,M2*0.04,IF(O2=130%,M2*0.052,IF(O2=150%,M2*0.06,0)))</f>
        <v>0</v>
      </c>
      <c r="Q2" s="23">
        <v>100000000</v>
      </c>
      <c r="R2" s="23">
        <f>Tablas!K18</f>
        <v>0</v>
      </c>
      <c r="S2" s="30">
        <f>Tablas!L18</f>
        <v>0</v>
      </c>
      <c r="T2" s="34">
        <f>IF(S2&lt;100%,0%,IF(AND(S2&gt;=100%,S2&lt;110%),100%,IF(AND(S2&gt;=110%,S2&lt;120%),130%,150%)))</f>
        <v>0</v>
      </c>
      <c r="U2" s="25">
        <f>IF(T2=100%,R2*0.04,IF(T2=130%,R2*0.055,IF(T2=150%,R2*0.065,0)))</f>
        <v>0</v>
      </c>
    </row>
    <row r="3" spans="1:21" x14ac:dyDescent="0.3">
      <c r="A3" s="5" t="s">
        <v>700</v>
      </c>
      <c r="B3" s="23">
        <v>200000000</v>
      </c>
      <c r="C3" s="23">
        <f>Tablas!K24</f>
        <v>53061866.32</v>
      </c>
      <c r="D3" s="30">
        <f>Tablas!L24</f>
        <v>0.26530933159999998</v>
      </c>
      <c r="E3" s="34">
        <f t="shared" ref="E3:E4" si="0">IF(D3&lt;100%,0%,IF(AND(D3&gt;=100%,D3&lt;110%),100%,IF(AND(D3&gt;=110%,D3&lt;120%),130%,150%)))</f>
        <v>0</v>
      </c>
      <c r="F3" s="25">
        <f>IF(E3=100%,Tablas!M24*0.04,IF(E3=130%,Tablas!M24*0.052,IF(E3=150%,Tablas!M24*0.06,0)))</f>
        <v>0</v>
      </c>
      <c r="G3" s="23">
        <v>200000000</v>
      </c>
      <c r="H3" s="23">
        <f>Tablas!K29</f>
        <v>88173289.949999988</v>
      </c>
      <c r="I3" s="30">
        <f>Tablas!L29</f>
        <v>0.44086644974999989</v>
      </c>
      <c r="J3" s="34">
        <f t="shared" ref="J3:J4" si="1">IF(I3&lt;100%,0%,IF(AND(I3&gt;=100%,I3&lt;110%),100%,IF(AND(I3&gt;=110%,I3&lt;120%),130%,150%)))</f>
        <v>0</v>
      </c>
      <c r="K3" s="25">
        <f>IF(J3=100%,Tablas!M29*0.04,IF(J3=130%,Tablas!M29*0.052,IF(J3=150%,Tablas!M29*0.06,0)))</f>
        <v>0</v>
      </c>
      <c r="L3" s="23">
        <v>200000000</v>
      </c>
      <c r="M3" s="23">
        <f>Tablas!K34</f>
        <v>574567463.25</v>
      </c>
      <c r="N3" s="30">
        <f>Tablas!L34</f>
        <v>2.8728373162500005</v>
      </c>
      <c r="O3" s="34">
        <f t="shared" ref="O3:O4" si="2">IF(N3&lt;100%,0%,IF(AND(N3&gt;=100%,N3&lt;110%),100%,IF(AND(N3&gt;=110%,N3&lt;120%),130%,150%)))</f>
        <v>1.5</v>
      </c>
      <c r="P3" s="25">
        <f>IF(O3=100%,Tablas!M34*0.04,IF(O3=130%,Tablas!M34*0.052,IF(O3=150%,Tablas!M34*0.06,0)))</f>
        <v>108637.815</v>
      </c>
      <c r="Q3" s="23">
        <v>200000000</v>
      </c>
      <c r="R3" s="23">
        <f>Tablas!K39</f>
        <v>0</v>
      </c>
      <c r="S3" s="30">
        <f>Tablas!L39</f>
        <v>0</v>
      </c>
      <c r="T3" s="34">
        <f t="shared" ref="T3:T4" si="3">IF(S3&lt;100%,0%,IF(AND(S3&gt;=100%,S3&lt;110%),100%,IF(AND(S3&gt;=110%,S3&lt;120%),130%,150%)))</f>
        <v>0</v>
      </c>
      <c r="U3" s="25">
        <f>IF(T3=100%,Tablas!M39*0.04,IF(T3=130%,Tablas!M39*0.052,IF(T3=150%,Tablas!M39*0.06,0)))</f>
        <v>0</v>
      </c>
    </row>
    <row r="4" spans="1:21" x14ac:dyDescent="0.3">
      <c r="A4" s="5" t="s">
        <v>726</v>
      </c>
      <c r="B4" s="23">
        <v>2720000000</v>
      </c>
      <c r="C4" s="23">
        <f>Tablas!K45</f>
        <v>2744778052.1499996</v>
      </c>
      <c r="D4" s="30">
        <f>Tablas!L45</f>
        <v>1.0091095779963233</v>
      </c>
      <c r="E4" s="34">
        <f t="shared" si="0"/>
        <v>1</v>
      </c>
      <c r="F4" s="25">
        <f>IF(E4=100%,C4*0.05,IF(E4=130%,C4*0.065,IF(E4=150%,C4*0.075,0)))</f>
        <v>137238902.60749999</v>
      </c>
      <c r="G4" s="23">
        <v>3400000000</v>
      </c>
      <c r="H4" s="23">
        <f>Tablas!K50</f>
        <v>4231388015.7888002</v>
      </c>
      <c r="I4" s="30">
        <f>Tablas!L50</f>
        <v>1.244525886996706</v>
      </c>
      <c r="J4" s="34">
        <f t="shared" si="1"/>
        <v>1.5</v>
      </c>
      <c r="K4" s="25">
        <f>IF(J4=100%,H4*0.05,IF(J4=130%,H4*0.065,IF(J4=150%,H4*0.075,0)))</f>
        <v>317354101.18415999</v>
      </c>
      <c r="L4" s="23">
        <v>4080000000</v>
      </c>
      <c r="M4" s="23">
        <f>Tablas!K55</f>
        <v>402931333.00639993</v>
      </c>
      <c r="N4" s="30">
        <f>Tablas!L55</f>
        <v>9.8757679658431352E-2</v>
      </c>
      <c r="O4" s="34">
        <f t="shared" si="2"/>
        <v>0</v>
      </c>
      <c r="P4" s="25">
        <f>IF(O4=100%,M4*0.05,IF(O4=130%,M4*0.065,IF(O4=150%,M4*0.075,0)))</f>
        <v>0</v>
      </c>
      <c r="Q4" s="23">
        <v>3400000000</v>
      </c>
      <c r="R4" s="23">
        <f>Tablas!K60</f>
        <v>0</v>
      </c>
      <c r="S4" s="30">
        <f>Tablas!L60</f>
        <v>0</v>
      </c>
      <c r="T4" s="34">
        <f t="shared" si="3"/>
        <v>0</v>
      </c>
      <c r="U4" s="25">
        <f>IF(T4=100%,R4*0.05,IF(T4=130%,R4*0.065,IF(T4=150%,R4*0.075,0)))</f>
        <v>0</v>
      </c>
    </row>
    <row r="7" spans="1:21" x14ac:dyDescent="0.3">
      <c r="C7" s="35"/>
    </row>
    <row r="8" spans="1:21" x14ac:dyDescent="0.3">
      <c r="C8" s="35"/>
    </row>
    <row r="9" spans="1:21" x14ac:dyDescent="0.3">
      <c r="C9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3D2-531E-4F83-955D-B3E95AB042BF}">
  <dimension ref="A2:M63"/>
  <sheetViews>
    <sheetView topLeftCell="A39" workbookViewId="0">
      <selection activeCell="F51" sqref="F51"/>
    </sheetView>
  </sheetViews>
  <sheetFormatPr baseColWidth="10" defaultRowHeight="14.4" x14ac:dyDescent="0.3"/>
  <cols>
    <col min="1" max="1" width="24.33203125" customWidth="1"/>
    <col min="2" max="2" width="12.88671875" customWidth="1"/>
    <col min="3" max="3" width="14" style="4" customWidth="1"/>
    <col min="4" max="4" width="20.44140625" style="4" customWidth="1"/>
    <col min="5" max="6" width="18.33203125" style="4" bestFit="1" customWidth="1"/>
    <col min="7" max="7" width="21.88671875" style="4" bestFit="1" customWidth="1"/>
    <col min="8" max="9" width="18.33203125" style="4" bestFit="1" customWidth="1"/>
    <col min="10" max="10" width="18.33203125" style="4" customWidth="1"/>
    <col min="11" max="11" width="20.88671875" style="4" customWidth="1"/>
    <col min="12" max="12" width="20.33203125" style="4" bestFit="1" customWidth="1"/>
    <col min="13" max="13" width="24.6640625" bestFit="1" customWidth="1"/>
    <col min="15" max="15" width="5.6640625" customWidth="1"/>
    <col min="16" max="16" width="19.33203125" bestFit="1" customWidth="1"/>
    <col min="17" max="17" width="15.5546875" bestFit="1" customWidth="1"/>
  </cols>
  <sheetData>
    <row r="2" spans="1:12" x14ac:dyDescent="0.3">
      <c r="A2" s="21" t="s">
        <v>1</v>
      </c>
      <c r="B2" s="31"/>
      <c r="C2" s="21" t="s">
        <v>689</v>
      </c>
      <c r="D2" s="21" t="s">
        <v>5</v>
      </c>
      <c r="E2" s="21" t="s">
        <v>686</v>
      </c>
      <c r="F2" s="21" t="s">
        <v>685</v>
      </c>
      <c r="G2" s="21" t="s">
        <v>698</v>
      </c>
      <c r="H2" s="21" t="s">
        <v>697</v>
      </c>
      <c r="I2" s="21" t="s">
        <v>709</v>
      </c>
      <c r="J2" s="21" t="s">
        <v>693</v>
      </c>
      <c r="K2" s="21" t="s">
        <v>707</v>
      </c>
      <c r="L2" s="21" t="s">
        <v>708</v>
      </c>
    </row>
    <row r="3" spans="1:12" x14ac:dyDescent="0.3">
      <c r="A3" s="20"/>
      <c r="B3" s="38" t="s">
        <v>699</v>
      </c>
      <c r="C3" s="22" t="s">
        <v>690</v>
      </c>
      <c r="D3" s="25">
        <v>26666666.670000002</v>
      </c>
      <c r="E3" s="25">
        <f>SUMIFS(Compras!N:N,Compras!G:G,$A$2,Compras!D:D,C3)</f>
        <v>506970</v>
      </c>
      <c r="F3" s="25">
        <f>SUMIFS(Facturado!Q:Q,Facturado!K:K,$A$2,Facturado!C:C,C3)</f>
        <v>2099486.56</v>
      </c>
      <c r="G3" s="25">
        <f>IF(E3=0,F3,SUMIFS(Facturado!Q:Q,Facturado!K:K,$A$2,Facturado!C:C,C3,Facturado!H:H,"SI"))</f>
        <v>1592516.81</v>
      </c>
      <c r="H3" s="23">
        <f>F3-G3</f>
        <v>506969.75</v>
      </c>
      <c r="I3" s="25">
        <f>IF(H3&lt;E3,E3-H3,0)</f>
        <v>0.25</v>
      </c>
      <c r="J3" s="25">
        <f>I3+I4</f>
        <v>0.25</v>
      </c>
      <c r="K3" s="25">
        <f>IF(F6&lt;D6,(F6+J3),F6)</f>
        <v>13884841.260000002</v>
      </c>
      <c r="L3" s="26">
        <f>IFERROR(((K3/D6)*100)/100,0)</f>
        <v>0.17356051575000003</v>
      </c>
    </row>
    <row r="4" spans="1:12" x14ac:dyDescent="0.3">
      <c r="A4" s="20"/>
      <c r="B4" s="38"/>
      <c r="C4" s="22" t="s">
        <v>691</v>
      </c>
      <c r="D4" s="25">
        <v>26666666.670000002</v>
      </c>
      <c r="E4" s="25">
        <f>SUMIFS(Compras!N:N,Compras!G:G,$A$2,Compras!D:D,C4)</f>
        <v>1462586.6921999999</v>
      </c>
      <c r="F4" s="25">
        <f>SUMIFS(Facturado!Q:Q,Facturado!K:K,$A$2,Facturado!C:C,C4)</f>
        <v>1680299.99</v>
      </c>
      <c r="G4" s="25">
        <f>IF(E4=0,F4,SUMIFS(Facturado!Q:Q,Facturado!K:K,$A$2,Facturado!C:C,C4,Facturado!H:H,"SI"))</f>
        <v>0</v>
      </c>
      <c r="H4" s="23">
        <f t="shared" ref="H4:H5" si="0">F4-G4</f>
        <v>1680299.99</v>
      </c>
      <c r="I4" s="25">
        <f>IF(H4&lt;E4,E4-H4,0)</f>
        <v>0</v>
      </c>
      <c r="J4" s="27"/>
    </row>
    <row r="5" spans="1:12" x14ac:dyDescent="0.3">
      <c r="A5" s="20"/>
      <c r="B5" s="38"/>
      <c r="C5" s="22" t="s">
        <v>692</v>
      </c>
      <c r="D5" s="25">
        <v>26666666.66</v>
      </c>
      <c r="E5" s="25">
        <f>SUMIFS(Compras!N:N,Compras!G:G,$A$2,Compras!D:D,C5)</f>
        <v>18431230.640000001</v>
      </c>
      <c r="F5" s="25">
        <f>SUMIFS(Facturado!Q:Q,Facturado!K:K,$A$2,Facturado!C:C,C5)</f>
        <v>10105054.460000001</v>
      </c>
      <c r="G5" s="25">
        <f>IF(E5=0,F5,SUMIFS(Facturado!Q:Q,Facturado!K:K,$A$2,Facturado!C:C,C5,Facturado!H:H,"SI"))</f>
        <v>0</v>
      </c>
      <c r="H5" s="23">
        <f t="shared" si="0"/>
        <v>10105054.460000001</v>
      </c>
      <c r="I5" s="22"/>
    </row>
    <row r="6" spans="1:12" x14ac:dyDescent="0.3">
      <c r="A6" s="20"/>
      <c r="B6" s="38"/>
      <c r="C6" s="21" t="s">
        <v>706</v>
      </c>
      <c r="D6" s="25">
        <f>SUM(D3:D5)</f>
        <v>80000000</v>
      </c>
      <c r="E6" s="25"/>
      <c r="F6" s="25">
        <f>SUM(F3:F5)</f>
        <v>13884841.010000002</v>
      </c>
      <c r="G6" s="25"/>
      <c r="H6" s="23"/>
      <c r="I6" s="25"/>
      <c r="J6" s="27"/>
    </row>
    <row r="7" spans="1:12" x14ac:dyDescent="0.3">
      <c r="A7" s="33"/>
      <c r="B7" s="32"/>
      <c r="C7" s="21" t="s">
        <v>689</v>
      </c>
      <c r="D7" s="21" t="s">
        <v>5</v>
      </c>
      <c r="E7" s="21" t="s">
        <v>686</v>
      </c>
      <c r="F7" s="21" t="s">
        <v>685</v>
      </c>
      <c r="G7" s="21" t="s">
        <v>698</v>
      </c>
      <c r="H7" s="21" t="s">
        <v>697</v>
      </c>
      <c r="I7" s="21" t="s">
        <v>709</v>
      </c>
      <c r="J7" s="21" t="s">
        <v>693</v>
      </c>
      <c r="K7" s="21" t="s">
        <v>710</v>
      </c>
      <c r="L7" s="21" t="s">
        <v>711</v>
      </c>
    </row>
    <row r="8" spans="1:12" x14ac:dyDescent="0.3">
      <c r="A8" s="20"/>
      <c r="B8" s="38" t="s">
        <v>701</v>
      </c>
      <c r="C8" s="22" t="s">
        <v>716</v>
      </c>
      <c r="D8" s="25">
        <f>33333333</f>
        <v>33333333</v>
      </c>
      <c r="E8" s="25">
        <f>SUMIFS(Compras!N:N,Compras!G:G,$A$2,Compras!D:D,C8)</f>
        <v>57100650</v>
      </c>
      <c r="F8" s="25">
        <f>SUMIFS(Facturado!Q:Q,Facturado!K:K,$A$2,Facturado!C:C,C8)</f>
        <v>56933764.960000001</v>
      </c>
      <c r="G8" s="25">
        <f>IF(E8=0,F8,SUMIFS(Facturado!Q:Q,Facturado!K:K,$A$2,Facturado!C:C,C8,Facturado!I:I,"&lt;&gt;Q2"))</f>
        <v>4805120</v>
      </c>
      <c r="H8" s="23">
        <f>F8-G8</f>
        <v>52128644.960000001</v>
      </c>
      <c r="I8" s="25">
        <f>IF(H8&lt;E8,E8-H8,0)</f>
        <v>4972005.0399999991</v>
      </c>
      <c r="J8" s="25">
        <f>I8+I9</f>
        <v>67454959.895000011</v>
      </c>
      <c r="K8" s="25">
        <f>IF(F11&lt;D11,(F11+J8),F11)</f>
        <v>112014313.84</v>
      </c>
      <c r="L8" s="26">
        <f>IFERROR(((K8/D11)*100)/100,0)</f>
        <v>1.1201431384</v>
      </c>
    </row>
    <row r="9" spans="1:12" x14ac:dyDescent="0.3">
      <c r="A9" s="20"/>
      <c r="B9" s="38"/>
      <c r="C9" s="22" t="s">
        <v>717</v>
      </c>
      <c r="D9" s="25">
        <f>33333333</f>
        <v>33333333</v>
      </c>
      <c r="E9" s="25">
        <f>SUMIFS(Compras!N:N,Compras!G:G,$A$2,Compras!D:D,C9)</f>
        <v>72183238.055000007</v>
      </c>
      <c r="F9" s="25">
        <f>SUMIFS(Facturado!Q:Q,Facturado!K:K,$A$2,Facturado!C:C,C9)</f>
        <v>18658433.619999997</v>
      </c>
      <c r="G9" s="25">
        <f>IF(E9=0,F9,SUMIFS(Facturado!Q:Q,Facturado!K:K,$A$2,Facturado!C:C,C9,Facturado!I:I,"&lt;&gt;Q2"))</f>
        <v>8958150.4199999999</v>
      </c>
      <c r="H9" s="23">
        <f t="shared" ref="H9:H10" si="1">F9-G9</f>
        <v>9700283.1999999974</v>
      </c>
      <c r="I9" s="25">
        <f>IF(H9&lt;E9,E9-H9,0)</f>
        <v>62482954.855000012</v>
      </c>
      <c r="J9" s="27"/>
    </row>
    <row r="10" spans="1:12" x14ac:dyDescent="0.3">
      <c r="A10" s="20"/>
      <c r="B10" s="38"/>
      <c r="C10" s="22" t="s">
        <v>718</v>
      </c>
      <c r="D10" s="25">
        <f>33333334</f>
        <v>33333334</v>
      </c>
      <c r="E10" s="25">
        <f>SUMIFS(Compras!N:N,Compras!G:G,$A$2,Compras!D:D,C10)</f>
        <v>10017000</v>
      </c>
      <c r="F10" s="25">
        <f>SUMIFS(Facturado!Q:Q,Facturado!K:K,$A$2,Facturado!C:C,C10)</f>
        <v>36422115.259999998</v>
      </c>
      <c r="G10" s="25">
        <f>IF(E10=0,F10,SUMIFS(Facturado!Q:Q,Facturado!K:K,$A$2,Facturado!C:C,C10,Facturado!I:I,"&lt;&gt;Q2"))</f>
        <v>5647703.3600000003</v>
      </c>
      <c r="H10" s="23">
        <f t="shared" si="1"/>
        <v>30774411.899999999</v>
      </c>
      <c r="I10" s="22"/>
    </row>
    <row r="11" spans="1:12" x14ac:dyDescent="0.3">
      <c r="A11" s="20"/>
      <c r="B11" s="38"/>
      <c r="C11" s="21" t="s">
        <v>706</v>
      </c>
      <c r="D11" s="25">
        <f>SUM(D8:D10)</f>
        <v>100000000</v>
      </c>
      <c r="E11" s="25"/>
      <c r="F11" s="25">
        <f>SUM(F8:F10)</f>
        <v>112014313.84</v>
      </c>
      <c r="G11" s="25"/>
      <c r="H11" s="23"/>
      <c r="I11" s="25"/>
      <c r="J11" s="27"/>
    </row>
    <row r="12" spans="1:12" x14ac:dyDescent="0.3">
      <c r="A12" s="20"/>
      <c r="B12" s="32"/>
      <c r="C12" s="21" t="s">
        <v>689</v>
      </c>
      <c r="D12" s="21" t="s">
        <v>5</v>
      </c>
      <c r="E12" s="21" t="s">
        <v>686</v>
      </c>
      <c r="F12" s="21" t="s">
        <v>685</v>
      </c>
      <c r="G12" s="21" t="s">
        <v>698</v>
      </c>
      <c r="H12" s="21" t="s">
        <v>697</v>
      </c>
      <c r="I12" s="21" t="s">
        <v>709</v>
      </c>
      <c r="J12" s="21" t="s">
        <v>693</v>
      </c>
      <c r="K12" s="21" t="s">
        <v>712</v>
      </c>
      <c r="L12" s="21" t="s">
        <v>713</v>
      </c>
    </row>
    <row r="13" spans="1:12" x14ac:dyDescent="0.3">
      <c r="A13" s="20"/>
      <c r="B13" s="38" t="s">
        <v>702</v>
      </c>
      <c r="C13" s="22" t="s">
        <v>719</v>
      </c>
      <c r="D13" s="25">
        <v>40000000</v>
      </c>
      <c r="E13" s="25">
        <f>SUMIFS(Compras!N:N,Compras!G:G,$A$2,Compras!D:D,C13)</f>
        <v>6255743</v>
      </c>
      <c r="F13" s="25">
        <f>SUMIFS(Facturado!Q:Q,Facturado!K:K,$A$2,Facturado!C:C,C13)</f>
        <v>41312985.019999996</v>
      </c>
      <c r="G13" s="25">
        <f>IF(E13=0,F13,SUMIFS(Facturado!Q:Q,Facturado!K:K,$A$2,Facturado!C:C,C13,Facturado!I:I,"&lt;&gt;Q3"))</f>
        <v>40848900.140000001</v>
      </c>
      <c r="H13" s="23">
        <f>F13-G13</f>
        <v>464084.87999999523</v>
      </c>
      <c r="I13" s="25">
        <f>IF(H13&lt;E13,E13-H13,0)</f>
        <v>5791658.1200000048</v>
      </c>
      <c r="J13" s="25">
        <f>I13+I14</f>
        <v>5791658.1200000048</v>
      </c>
      <c r="K13" s="25">
        <f>IF(F16&lt;D16,(F16+J13),F16)</f>
        <v>53318322.980000004</v>
      </c>
      <c r="L13" s="26">
        <f>IFERROR(((K13/D16)*100)/100,0)</f>
        <v>0.44431935816666668</v>
      </c>
    </row>
    <row r="14" spans="1:12" x14ac:dyDescent="0.3">
      <c r="A14" s="20"/>
      <c r="B14" s="38"/>
      <c r="C14" s="22" t="s">
        <v>720</v>
      </c>
      <c r="D14" s="25">
        <v>40000000</v>
      </c>
      <c r="E14" s="25">
        <f>SUMIFS(Compras!N:N,Compras!G:G,$A$2,Compras!D:D,C14)</f>
        <v>0</v>
      </c>
      <c r="F14" s="25">
        <f>SUMIFS(Facturado!Q:Q,Facturado!K:K,$A$2,Facturado!C:C,C14)</f>
        <v>6213679.8399999999</v>
      </c>
      <c r="G14" s="25">
        <f>IF(E14=0,F14,SUMIFS(Facturado!Q:Q,Facturado!K:K,$A$2,Facturado!C:C,C14,Facturado!I:I,"&lt;&gt;Q3"))</f>
        <v>6213679.8399999999</v>
      </c>
      <c r="H14" s="23">
        <f t="shared" ref="H14:H15" si="2">F14-G14</f>
        <v>0</v>
      </c>
      <c r="I14" s="25">
        <f>IF(H14&lt;E14,E14-H14,0)</f>
        <v>0</v>
      </c>
      <c r="J14" s="27"/>
    </row>
    <row r="15" spans="1:12" x14ac:dyDescent="0.3">
      <c r="A15" s="20"/>
      <c r="B15" s="38"/>
      <c r="C15" s="22" t="s">
        <v>721</v>
      </c>
      <c r="D15" s="25">
        <v>40000000</v>
      </c>
      <c r="E15" s="25">
        <f>SUMIFS(Compras!N:N,Compras!G:G,$A$2,Compras!D:D,C15)</f>
        <v>0</v>
      </c>
      <c r="F15" s="25">
        <f>SUMIFS(Facturado!Q:Q,Facturado!K:K,$A$2,Facturado!C:C,C15)</f>
        <v>0</v>
      </c>
      <c r="G15" s="25">
        <f>IF(E15=0,F15,SUMIFS(Facturado!Q:Q,Facturado!K:K,$A$2,Facturado!C:C,C15,Facturado!I:I,"&lt;&gt;Q3"))</f>
        <v>0</v>
      </c>
      <c r="H15" s="23">
        <f t="shared" si="2"/>
        <v>0</v>
      </c>
      <c r="I15" s="22"/>
    </row>
    <row r="16" spans="1:12" x14ac:dyDescent="0.3">
      <c r="A16" s="20"/>
      <c r="B16" s="38"/>
      <c r="C16" s="21" t="s">
        <v>706</v>
      </c>
      <c r="D16" s="25">
        <f>SUM(D13:D15)</f>
        <v>120000000</v>
      </c>
      <c r="E16" s="25"/>
      <c r="F16" s="25">
        <f>SUM(F13:F15)</f>
        <v>47526664.859999999</v>
      </c>
      <c r="G16" s="25"/>
      <c r="H16" s="23"/>
      <c r="I16" s="25"/>
      <c r="J16" s="27"/>
    </row>
    <row r="17" spans="1:13" x14ac:dyDescent="0.3">
      <c r="A17" s="20"/>
      <c r="B17" s="32"/>
      <c r="C17" s="21" t="s">
        <v>689</v>
      </c>
      <c r="D17" s="21" t="s">
        <v>5</v>
      </c>
      <c r="E17" s="21" t="s">
        <v>686</v>
      </c>
      <c r="F17" s="21" t="s">
        <v>685</v>
      </c>
      <c r="G17" s="21" t="s">
        <v>698</v>
      </c>
      <c r="H17" s="21" t="s">
        <v>697</v>
      </c>
      <c r="I17" s="21" t="s">
        <v>709</v>
      </c>
      <c r="J17" s="21" t="s">
        <v>693</v>
      </c>
      <c r="K17" s="21" t="s">
        <v>714</v>
      </c>
      <c r="L17" s="21" t="s">
        <v>715</v>
      </c>
    </row>
    <row r="18" spans="1:13" x14ac:dyDescent="0.3">
      <c r="A18" s="20"/>
      <c r="B18" s="38" t="s">
        <v>703</v>
      </c>
      <c r="C18" s="22" t="s">
        <v>722</v>
      </c>
      <c r="D18" s="25">
        <f>33333333</f>
        <v>33333333</v>
      </c>
      <c r="E18" s="25">
        <f>SUMIFS(Compras!N:N,Compras!G:G,$A$2,Compras!D:D,C18)</f>
        <v>0</v>
      </c>
      <c r="F18" s="25">
        <f>SUMIFS(Facturado!Q:Q,Facturado!K:K,$A$2,Facturado!C:C,C18)</f>
        <v>0</v>
      </c>
      <c r="G18" s="25">
        <f>IF(E18=0,F18,SUMIFS(Facturado!Q:Q,Facturado!K:K,$A$2,Facturado!C:C,C18,Facturado!I:I,"&lt;&gt;Q4"))</f>
        <v>0</v>
      </c>
      <c r="H18" s="23">
        <f>F18-G18</f>
        <v>0</v>
      </c>
      <c r="I18" s="25">
        <f>IF(H18&lt;E18,E18-H18,0)</f>
        <v>0</v>
      </c>
      <c r="J18" s="25">
        <f>I18+I19</f>
        <v>0</v>
      </c>
      <c r="K18" s="25">
        <f>IF(F21&lt;D21,(F21+J18),F21)</f>
        <v>0</v>
      </c>
      <c r="L18" s="26">
        <f>IFERROR(((K18/D21)*100)/100,0)</f>
        <v>0</v>
      </c>
    </row>
    <row r="19" spans="1:13" x14ac:dyDescent="0.3">
      <c r="A19" s="20"/>
      <c r="B19" s="38"/>
      <c r="C19" s="22" t="s">
        <v>723</v>
      </c>
      <c r="D19" s="25">
        <f>33333333</f>
        <v>33333333</v>
      </c>
      <c r="E19" s="25">
        <f>SUMIFS(Compras!N:N,Compras!G:G,$A$2,Compras!D:D,C19)</f>
        <v>0</v>
      </c>
      <c r="F19" s="25">
        <f>SUMIFS(Facturado!Q:Q,Facturado!K:K,$A$2,Facturado!C:C,C19)</f>
        <v>0</v>
      </c>
      <c r="G19" s="25">
        <f>IF(E19=0,F19,SUMIFS(Facturado!Q:Q,Facturado!K:K,$A$2,Facturado!C:C,C19,Facturado!I:I,"&lt;&gt;Q4"))</f>
        <v>0</v>
      </c>
      <c r="H19" s="23">
        <f t="shared" ref="H19:H20" si="3">F19-G19</f>
        <v>0</v>
      </c>
      <c r="I19" s="25">
        <f>IF(H19&lt;E19,E19-H19,0)</f>
        <v>0</v>
      </c>
      <c r="J19" s="27"/>
    </row>
    <row r="20" spans="1:13" x14ac:dyDescent="0.3">
      <c r="A20" s="20"/>
      <c r="B20" s="38"/>
      <c r="C20" s="22" t="s">
        <v>724</v>
      </c>
      <c r="D20" s="25">
        <f>33333334</f>
        <v>33333334</v>
      </c>
      <c r="E20" s="25">
        <f>SUMIFS(Compras!N:N,Compras!G:G,$A$2,Compras!D:D,C20)</f>
        <v>0</v>
      </c>
      <c r="F20" s="25">
        <f>SUMIFS(Facturado!Q:Q,Facturado!K:K,$A$2,Facturado!C:C,C20)</f>
        <v>0</v>
      </c>
      <c r="G20" s="25">
        <f>IF(E20=0,F20,SUMIFS(Facturado!Q:Q,Facturado!K:K,$A$2,Facturado!C:C,C20,Facturado!I:I,"&lt;&gt;Q4"))</f>
        <v>0</v>
      </c>
      <c r="H20" s="23">
        <f t="shared" si="3"/>
        <v>0</v>
      </c>
      <c r="I20" s="22"/>
    </row>
    <row r="21" spans="1:13" x14ac:dyDescent="0.3">
      <c r="A21" s="20"/>
      <c r="B21" s="38"/>
      <c r="C21" s="21" t="s">
        <v>706</v>
      </c>
      <c r="D21" s="25">
        <f>SUM(D18:D20)</f>
        <v>100000000</v>
      </c>
      <c r="E21" s="25"/>
      <c r="F21" s="25">
        <f>SUM(F18:F20)</f>
        <v>0</v>
      </c>
      <c r="G21" s="25"/>
      <c r="H21" s="23"/>
      <c r="I21" s="25"/>
      <c r="J21" s="27"/>
    </row>
    <row r="22" spans="1:13" x14ac:dyDescent="0.3">
      <c r="A22" s="20"/>
      <c r="B22" s="24"/>
      <c r="D22" s="27"/>
      <c r="E22" s="27"/>
      <c r="F22" s="27"/>
      <c r="G22" s="27"/>
      <c r="H22" s="28"/>
      <c r="I22" s="27"/>
      <c r="J22" s="27"/>
    </row>
    <row r="23" spans="1:13" x14ac:dyDescent="0.3">
      <c r="A23" s="5" t="s">
        <v>6</v>
      </c>
      <c r="B23" s="31"/>
      <c r="C23" s="21" t="s">
        <v>689</v>
      </c>
      <c r="D23" s="21" t="s">
        <v>5</v>
      </c>
      <c r="E23" s="21" t="s">
        <v>686</v>
      </c>
      <c r="F23" s="21" t="s">
        <v>685</v>
      </c>
      <c r="G23" s="21" t="s">
        <v>698</v>
      </c>
      <c r="H23" s="21" t="s">
        <v>697</v>
      </c>
      <c r="I23" s="21" t="s">
        <v>709</v>
      </c>
      <c r="J23" s="21" t="s">
        <v>693</v>
      </c>
      <c r="K23" s="21" t="s">
        <v>707</v>
      </c>
      <c r="L23" s="21" t="s">
        <v>708</v>
      </c>
      <c r="M23" s="21" t="s">
        <v>727</v>
      </c>
    </row>
    <row r="24" spans="1:13" x14ac:dyDescent="0.3">
      <c r="A24" s="20"/>
      <c r="B24" s="38" t="s">
        <v>699</v>
      </c>
      <c r="C24" s="22" t="s">
        <v>690</v>
      </c>
      <c r="D24" s="25">
        <v>66666666</v>
      </c>
      <c r="E24" s="25">
        <f>SUMIFS(Compras!N:N,Compras!G:G,$A$23,Compras!D:D,C24)</f>
        <v>0</v>
      </c>
      <c r="F24" s="25">
        <f>SUMIFS(Facturado!Q:Q,Facturado!K:K,$A$23,Facturado!C:C,C24)</f>
        <v>3600250.4</v>
      </c>
      <c r="G24" s="25">
        <f>IF(E24=0,F24,SUMIFS(Facturado!Q:Q,Facturado!K:K,$A$23,Facturado!C:C,C24,Facturado!H:H,"SI"))</f>
        <v>3600250.4</v>
      </c>
      <c r="H24" s="23">
        <f>F24-G24</f>
        <v>0</v>
      </c>
      <c r="I24" s="25">
        <f>IF(H24&lt;E24,E24-H24,0)</f>
        <v>0</v>
      </c>
      <c r="J24" s="25">
        <f>I24+I25</f>
        <v>0</v>
      </c>
      <c r="K24" s="25">
        <f>IF(F27&lt;D27,(F27+J24),F27)</f>
        <v>53061866.32</v>
      </c>
      <c r="L24" s="26">
        <f>IFERROR(((K24/D27)*100)/100,0)</f>
        <v>0.26530933159999998</v>
      </c>
      <c r="M24" s="25">
        <f>SUMIFS(Facturado!Q:Q,Facturado!L:L,$A$23,Facturado!D:D,B24)</f>
        <v>53061866.32</v>
      </c>
    </row>
    <row r="25" spans="1:13" x14ac:dyDescent="0.3">
      <c r="A25" s="20"/>
      <c r="B25" s="38"/>
      <c r="C25" s="22" t="s">
        <v>691</v>
      </c>
      <c r="D25" s="25">
        <v>66666666</v>
      </c>
      <c r="E25" s="25">
        <f>SUMIFS(Compras!N:N,Compras!G:G,$A$23,Compras!D:D,C25)</f>
        <v>0</v>
      </c>
      <c r="F25" s="25">
        <f>SUMIFS(Facturado!Q:Q,Facturado!K:K,$A$23,Facturado!C:C,C25)</f>
        <v>48735394.910000004</v>
      </c>
      <c r="G25" s="25">
        <f>IF(E25=0,F25,SUMIFS(Facturado!Q:Q,Facturado!K:K,$A$23,Facturado!C:C,C25,Facturado!H:H,"SI"))</f>
        <v>48735394.910000004</v>
      </c>
      <c r="H25" s="23">
        <f t="shared" ref="H25:H26" si="4">F25-G25</f>
        <v>0</v>
      </c>
      <c r="I25" s="25">
        <f>IF(H25&lt;E25,E25-H25,0)</f>
        <v>0</v>
      </c>
      <c r="J25" s="27"/>
    </row>
    <row r="26" spans="1:13" x14ac:dyDescent="0.3">
      <c r="A26" s="20"/>
      <c r="B26" s="38"/>
      <c r="C26" s="22" t="s">
        <v>692</v>
      </c>
      <c r="D26" s="25">
        <v>66666668</v>
      </c>
      <c r="E26" s="25">
        <f>SUMIFS(Compras!N:N,Compras!G:G,$A$23,Compras!D:D,C26)</f>
        <v>0</v>
      </c>
      <c r="F26" s="25">
        <f>SUMIFS(Facturado!Q:Q,Facturado!K:K,$A$23,Facturado!C:C,C26)</f>
        <v>726221.01</v>
      </c>
      <c r="G26" s="25">
        <f>IF(E26=0,F26,SUMIFS(Facturado!Q:Q,Facturado!K:K,$A$23,Facturado!C:C,C26,Facturado!H:H,"SI"))</f>
        <v>726221.01</v>
      </c>
      <c r="H26" s="23">
        <f t="shared" si="4"/>
        <v>0</v>
      </c>
      <c r="I26" s="22"/>
    </row>
    <row r="27" spans="1:13" x14ac:dyDescent="0.3">
      <c r="A27" s="20"/>
      <c r="B27" s="38"/>
      <c r="C27" s="22" t="s">
        <v>706</v>
      </c>
      <c r="D27" s="23">
        <f>SUM(D24:D26)</f>
        <v>200000000</v>
      </c>
      <c r="E27" s="25"/>
      <c r="F27" s="23">
        <f>SUM(F24:F26)</f>
        <v>53061866.32</v>
      </c>
      <c r="G27" s="25"/>
      <c r="H27" s="23"/>
      <c r="I27" s="25"/>
      <c r="J27" s="27"/>
    </row>
    <row r="28" spans="1:13" x14ac:dyDescent="0.3">
      <c r="A28" s="20"/>
      <c r="B28" s="32"/>
      <c r="C28" s="21" t="s">
        <v>689</v>
      </c>
      <c r="D28" s="21" t="s">
        <v>5</v>
      </c>
      <c r="E28" s="21" t="s">
        <v>686</v>
      </c>
      <c r="F28" s="21" t="s">
        <v>685</v>
      </c>
      <c r="G28" s="21" t="s">
        <v>698</v>
      </c>
      <c r="H28" s="21" t="s">
        <v>697</v>
      </c>
      <c r="I28" s="21" t="s">
        <v>709</v>
      </c>
      <c r="J28" s="21" t="s">
        <v>693</v>
      </c>
      <c r="K28" s="21" t="s">
        <v>710</v>
      </c>
      <c r="L28" s="21" t="s">
        <v>708</v>
      </c>
      <c r="M28" s="21" t="s">
        <v>728</v>
      </c>
    </row>
    <row r="29" spans="1:13" x14ac:dyDescent="0.3">
      <c r="A29" s="20"/>
      <c r="B29" s="38" t="s">
        <v>701</v>
      </c>
      <c r="C29" s="22" t="s">
        <v>716</v>
      </c>
      <c r="D29" s="25">
        <v>66666666</v>
      </c>
      <c r="E29" s="25">
        <f>SUMIFS(Compras!N:N,Compras!G:G,$A$23,Compras!D:D,C29)</f>
        <v>0</v>
      </c>
      <c r="F29" s="25">
        <f>SUMIFS(Facturado!Q:Q,Facturado!K:K,$A$23,Facturado!C:C,C29)</f>
        <v>38949826.919999994</v>
      </c>
      <c r="G29" s="25">
        <f>IF(E29=0,F29,SUMIFS(Facturado!Q:Q,Facturado!K:K,$A$2,Facturado!C:C,C29,Facturado!H:H,"SI",Facturado!D:D,"Q1"))</f>
        <v>38949826.919999994</v>
      </c>
      <c r="H29" s="23">
        <f>F29-G29</f>
        <v>0</v>
      </c>
      <c r="I29" s="25">
        <f>IF(H29&lt;E29,E29-H29,0)</f>
        <v>0</v>
      </c>
      <c r="J29" s="25">
        <f>I29+I30</f>
        <v>0</v>
      </c>
      <c r="K29" s="25">
        <f>IF(F32&lt;D32,(F32+J29),F32)</f>
        <v>88173289.949999988</v>
      </c>
      <c r="L29" s="26">
        <f>IFERROR(((K29/D32)*100)/100,0)</f>
        <v>0.44086644974999989</v>
      </c>
      <c r="M29" s="25">
        <f>SUMIFS(Facturado!Q:Q,Facturado!L:L,$A$23,Facturado!D:D,B29)</f>
        <v>38949826.919999994</v>
      </c>
    </row>
    <row r="30" spans="1:13" x14ac:dyDescent="0.3">
      <c r="A30" s="20"/>
      <c r="B30" s="38"/>
      <c r="C30" s="22" t="s">
        <v>717</v>
      </c>
      <c r="D30" s="25">
        <v>66666666</v>
      </c>
      <c r="E30" s="25">
        <f>SUMIFS(Compras!N:N,Compras!G:G,$A$23,Compras!D:D,C30)</f>
        <v>0</v>
      </c>
      <c r="F30" s="25">
        <f>SUMIFS(Facturado!Q:Q,Facturado!K:K,$A$23,Facturado!C:C,C30)</f>
        <v>0</v>
      </c>
      <c r="G30" s="25">
        <f>IF(E30=0,F30,SUMIFS(Facturado!Q:Q,Facturado!K:K,$A$23,Facturado!C:C,C30,Facturado!H:H,"SI"))</f>
        <v>0</v>
      </c>
      <c r="H30" s="23">
        <f t="shared" ref="H30:H31" si="5">F30-G30</f>
        <v>0</v>
      </c>
      <c r="I30" s="25">
        <f>IF(H30&lt;E30,E30-H30,0)</f>
        <v>0</v>
      </c>
      <c r="J30" s="27"/>
    </row>
    <row r="31" spans="1:13" x14ac:dyDescent="0.3">
      <c r="A31" s="20"/>
      <c r="B31" s="38"/>
      <c r="C31" s="22" t="s">
        <v>718</v>
      </c>
      <c r="D31" s="25">
        <v>66666668</v>
      </c>
      <c r="E31" s="25">
        <f>SUMIFS(Compras!N:N,Compras!G:G,$A$23,Compras!D:D,C31)</f>
        <v>0</v>
      </c>
      <c r="F31" s="25">
        <f>SUMIFS(Facturado!Q:Q,Facturado!K:K,$A$23,Facturado!C:C,C31)</f>
        <v>49223463.030000001</v>
      </c>
      <c r="G31" s="25">
        <f>IF(E31=0,F31,SUMIFS(Facturado!Q:Q,Facturado!K:K,$A$23,Facturado!C:C,C31,Facturado!H:H,"SI"))</f>
        <v>49223463.030000001</v>
      </c>
      <c r="H31" s="23">
        <f t="shared" si="5"/>
        <v>0</v>
      </c>
      <c r="I31" s="22"/>
    </row>
    <row r="32" spans="1:13" x14ac:dyDescent="0.3">
      <c r="A32" s="20"/>
      <c r="B32" s="38"/>
      <c r="C32" s="22" t="s">
        <v>706</v>
      </c>
      <c r="D32" s="23">
        <f>SUM(D29:D31)</f>
        <v>200000000</v>
      </c>
      <c r="E32" s="25"/>
      <c r="F32" s="23">
        <f>SUM(F29:F31)</f>
        <v>88173289.949999988</v>
      </c>
      <c r="G32" s="25"/>
      <c r="H32" s="23"/>
      <c r="I32" s="25"/>
      <c r="J32" s="27"/>
    </row>
    <row r="33" spans="1:13" x14ac:dyDescent="0.3">
      <c r="A33" s="20"/>
      <c r="B33" s="32"/>
      <c r="C33" s="21" t="s">
        <v>689</v>
      </c>
      <c r="D33" s="21" t="s">
        <v>5</v>
      </c>
      <c r="E33" s="21" t="s">
        <v>686</v>
      </c>
      <c r="F33" s="21" t="s">
        <v>685</v>
      </c>
      <c r="G33" s="21" t="s">
        <v>698</v>
      </c>
      <c r="H33" s="21" t="s">
        <v>697</v>
      </c>
      <c r="I33" s="21" t="s">
        <v>709</v>
      </c>
      <c r="J33" s="21" t="s">
        <v>693</v>
      </c>
      <c r="K33" s="21" t="s">
        <v>712</v>
      </c>
      <c r="L33" s="21" t="s">
        <v>708</v>
      </c>
      <c r="M33" s="21" t="s">
        <v>729</v>
      </c>
    </row>
    <row r="34" spans="1:13" x14ac:dyDescent="0.3">
      <c r="A34" s="20"/>
      <c r="B34" s="38" t="s">
        <v>702</v>
      </c>
      <c r="C34" s="22" t="s">
        <v>719</v>
      </c>
      <c r="D34" s="25">
        <v>66666666</v>
      </c>
      <c r="E34" s="25">
        <f>SUMIFS(Compras!N:N,Compras!G:G,$A$23,Compras!D:D,C34)</f>
        <v>49223463</v>
      </c>
      <c r="F34" s="25">
        <f>SUMIFS(Facturado!Q:Q,Facturado!K:K,$A$23,Facturado!C:C,C34)</f>
        <v>0</v>
      </c>
      <c r="G34" s="25">
        <f>IF(E34=0,F34,SUMIFS(Facturado!Q:Q,Facturado!K:K,$A$23,Facturado!C:C,C34,Facturado!H:H,"SI"))</f>
        <v>0</v>
      </c>
      <c r="H34" s="23">
        <f>F34-G34</f>
        <v>0</v>
      </c>
      <c r="I34" s="25">
        <f>IF(H34&lt;E34,E34-H34,0)</f>
        <v>49223463</v>
      </c>
      <c r="J34" s="25">
        <f>I34+I35</f>
        <v>572756833</v>
      </c>
      <c r="K34" s="25">
        <f>IF(F37&lt;D37,(F37+J34),F37)</f>
        <v>574567463.25</v>
      </c>
      <c r="L34" s="26">
        <f>IFERROR(((K34/D37)*100)/100,0)</f>
        <v>2.8728373162500005</v>
      </c>
      <c r="M34" s="25">
        <f>SUMIFS(Facturado!Q:Q,Facturado!L:L,$A$23,Facturado!D:D,B34)</f>
        <v>1810630.25</v>
      </c>
    </row>
    <row r="35" spans="1:13" x14ac:dyDescent="0.3">
      <c r="A35" s="20"/>
      <c r="B35" s="38"/>
      <c r="C35" s="22" t="s">
        <v>720</v>
      </c>
      <c r="D35" s="25">
        <v>66666666</v>
      </c>
      <c r="E35" s="25">
        <f>SUMIFS(Compras!N:N,Compras!G:G,$A$23,Compras!D:D,C35)</f>
        <v>523533370</v>
      </c>
      <c r="F35" s="25">
        <f>SUMIFS(Facturado!Q:Q,Facturado!K:K,$A$23,Facturado!C:C,C35)</f>
        <v>0</v>
      </c>
      <c r="G35" s="25">
        <f>IF(E35=0,F35,SUMIFS(Facturado!Q:Q,Facturado!K:K,$A$23,Facturado!C:C,C35,Facturado!H:H,"SI"))</f>
        <v>0</v>
      </c>
      <c r="H35" s="23">
        <f t="shared" ref="H35:H36" si="6">F35-G35</f>
        <v>0</v>
      </c>
      <c r="I35" s="25">
        <f>IF(H35&lt;E35,E35-H35,0)</f>
        <v>523533370</v>
      </c>
      <c r="J35" s="27"/>
    </row>
    <row r="36" spans="1:13" x14ac:dyDescent="0.3">
      <c r="A36" s="20"/>
      <c r="B36" s="38"/>
      <c r="C36" s="22" t="s">
        <v>721</v>
      </c>
      <c r="D36" s="25">
        <v>66666668</v>
      </c>
      <c r="E36" s="25">
        <f>SUMIFS(Compras!N:N,Compras!G:G,$A$23,Compras!D:D,C36)</f>
        <v>8732512.25</v>
      </c>
      <c r="F36" s="25">
        <f>SUMIFS(Facturado!Q:Q,Facturado!K:K,$A$23,Facturado!C:C,C36)</f>
        <v>1810630.25</v>
      </c>
      <c r="G36" s="25">
        <f>IF(E36=0,F36,SUMIFS(Facturado!Q:Q,Facturado!K:K,$A$23,Facturado!C:C,C36,Facturado!H:H,"SI"))</f>
        <v>0</v>
      </c>
      <c r="H36" s="23">
        <f t="shared" si="6"/>
        <v>1810630.25</v>
      </c>
      <c r="I36" s="22"/>
      <c r="M36" s="35"/>
    </row>
    <row r="37" spans="1:13" x14ac:dyDescent="0.3">
      <c r="A37" s="20"/>
      <c r="B37" s="38"/>
      <c r="C37" s="22" t="s">
        <v>706</v>
      </c>
      <c r="D37" s="23">
        <f>SUM(D34:D36)</f>
        <v>200000000</v>
      </c>
      <c r="E37" s="25"/>
      <c r="F37" s="23">
        <f>SUM(F34:F36)</f>
        <v>1810630.25</v>
      </c>
      <c r="G37" s="25"/>
      <c r="H37" s="23"/>
      <c r="I37" s="25"/>
      <c r="J37" s="27"/>
    </row>
    <row r="38" spans="1:13" x14ac:dyDescent="0.3">
      <c r="A38" s="20"/>
      <c r="B38" s="32"/>
      <c r="C38" s="21" t="s">
        <v>689</v>
      </c>
      <c r="D38" s="21" t="s">
        <v>5</v>
      </c>
      <c r="E38" s="21" t="s">
        <v>686</v>
      </c>
      <c r="F38" s="21" t="s">
        <v>685</v>
      </c>
      <c r="G38" s="21" t="s">
        <v>698</v>
      </c>
      <c r="H38" s="21" t="s">
        <v>697</v>
      </c>
      <c r="I38" s="21" t="s">
        <v>709</v>
      </c>
      <c r="J38" s="21" t="s">
        <v>693</v>
      </c>
      <c r="K38" s="21" t="s">
        <v>714</v>
      </c>
      <c r="L38" s="21" t="s">
        <v>708</v>
      </c>
      <c r="M38" s="21" t="s">
        <v>730</v>
      </c>
    </row>
    <row r="39" spans="1:13" x14ac:dyDescent="0.3">
      <c r="A39" s="20"/>
      <c r="B39" s="38" t="s">
        <v>703</v>
      </c>
      <c r="C39" s="22" t="s">
        <v>722</v>
      </c>
      <c r="D39" s="25">
        <v>66666666</v>
      </c>
      <c r="E39" s="25">
        <f>SUMIFS(Compras!N:N,Compras!G:G,$A$23,Compras!D:D,C39)</f>
        <v>0</v>
      </c>
      <c r="F39" s="25">
        <f>SUMIFS(Facturado!Q:Q,Facturado!K:K,$A$23,Facturado!C:C,C39)</f>
        <v>0</v>
      </c>
      <c r="G39" s="25">
        <f>IF(E39=0,F39,SUMIFS(Facturado!Q:Q,Facturado!K:K,$A$23,Facturado!C:C,C39,Facturado!H:H,"SI"))</f>
        <v>0</v>
      </c>
      <c r="H39" s="23">
        <f>F39-G39</f>
        <v>0</v>
      </c>
      <c r="I39" s="25">
        <f>IF(H39&lt;E39,E39-H39,0)</f>
        <v>0</v>
      </c>
      <c r="J39" s="25">
        <f>I39+I40</f>
        <v>0</v>
      </c>
      <c r="K39" s="25">
        <f>IF(F42&lt;D42,(F42+J39),F42)</f>
        <v>0</v>
      </c>
      <c r="L39" s="26">
        <f>IFERROR(((K39/D42)*100)/100,0)</f>
        <v>0</v>
      </c>
      <c r="M39" s="25">
        <f>SUMIFS(Facturado!Q:Q,Facturado!L:L,$A$23,Facturado!D:D,B39)</f>
        <v>0</v>
      </c>
    </row>
    <row r="40" spans="1:13" x14ac:dyDescent="0.3">
      <c r="A40" s="20"/>
      <c r="B40" s="38"/>
      <c r="C40" s="22" t="s">
        <v>723</v>
      </c>
      <c r="D40" s="25">
        <v>66666666</v>
      </c>
      <c r="E40" s="25">
        <f>SUMIFS(Compras!N:N,Compras!G:G,$A$23,Compras!D:D,C40)</f>
        <v>0</v>
      </c>
      <c r="F40" s="25">
        <f>SUMIFS(Facturado!Q:Q,Facturado!K:K,$A$23,Facturado!C:C,C40)</f>
        <v>0</v>
      </c>
      <c r="G40" s="25">
        <f>IF(E40=0,F40,SUMIFS(Facturado!Q:Q,Facturado!K:K,$A$23,Facturado!C:C,C40,Facturado!H:H,"SI"))</f>
        <v>0</v>
      </c>
      <c r="H40" s="23">
        <f t="shared" ref="H40:H41" si="7">F40-G40</f>
        <v>0</v>
      </c>
      <c r="I40" s="25">
        <f>IF(H40&lt;E40,E40-H40,0)</f>
        <v>0</v>
      </c>
      <c r="J40" s="27"/>
    </row>
    <row r="41" spans="1:13" x14ac:dyDescent="0.3">
      <c r="A41" s="20"/>
      <c r="B41" s="38"/>
      <c r="C41" s="22" t="s">
        <v>724</v>
      </c>
      <c r="D41" s="25">
        <v>66666668</v>
      </c>
      <c r="E41" s="25">
        <f>SUMIFS(Compras!N:N,Compras!G:G,$A$23,Compras!D:D,C41)</f>
        <v>0</v>
      </c>
      <c r="F41" s="25">
        <f>SUMIFS(Facturado!Q:Q,Facturado!K:K,$A$23,Facturado!C:C,C41)</f>
        <v>0</v>
      </c>
      <c r="G41" s="25">
        <f>IF(E41=0,F41,SUMIFS(Facturado!Q:Q,Facturado!K:K,$A$23,Facturado!C:C,C41,Facturado!H:H,"SI"))</f>
        <v>0</v>
      </c>
      <c r="H41" s="23">
        <f t="shared" si="7"/>
        <v>0</v>
      </c>
      <c r="I41" s="22"/>
    </row>
    <row r="42" spans="1:13" x14ac:dyDescent="0.3">
      <c r="A42" s="20"/>
      <c r="B42" s="38"/>
      <c r="C42" s="22" t="s">
        <v>706</v>
      </c>
      <c r="D42" s="23">
        <f>SUM(D39:D41)</f>
        <v>200000000</v>
      </c>
      <c r="E42" s="25"/>
      <c r="F42" s="23">
        <f>SUM(F39:F41)</f>
        <v>0</v>
      </c>
      <c r="G42" s="25"/>
      <c r="H42" s="23"/>
      <c r="I42" s="25"/>
      <c r="J42" s="27"/>
    </row>
    <row r="43" spans="1:13" x14ac:dyDescent="0.3">
      <c r="A43" s="20"/>
      <c r="B43" s="24"/>
      <c r="D43" s="28"/>
      <c r="E43" s="27"/>
      <c r="F43" s="28"/>
      <c r="G43" s="27"/>
      <c r="H43" s="28"/>
      <c r="I43" s="27"/>
      <c r="J43" s="27"/>
    </row>
    <row r="44" spans="1:13" x14ac:dyDescent="0.3">
      <c r="A44" s="5" t="s">
        <v>726</v>
      </c>
      <c r="B44" s="31"/>
      <c r="C44" s="21" t="s">
        <v>689</v>
      </c>
      <c r="D44" s="21" t="s">
        <v>5</v>
      </c>
      <c r="E44" s="21" t="s">
        <v>686</v>
      </c>
      <c r="F44" s="21" t="s">
        <v>685</v>
      </c>
      <c r="G44" s="21" t="s">
        <v>698</v>
      </c>
      <c r="H44" s="21" t="s">
        <v>697</v>
      </c>
      <c r="I44" s="21" t="s">
        <v>709</v>
      </c>
      <c r="J44" s="21" t="s">
        <v>693</v>
      </c>
      <c r="K44" s="21" t="s">
        <v>707</v>
      </c>
      <c r="L44" s="21" t="s">
        <v>708</v>
      </c>
    </row>
    <row r="45" spans="1:13" x14ac:dyDescent="0.3">
      <c r="A45" s="20"/>
      <c r="B45" s="38" t="s">
        <v>699</v>
      </c>
      <c r="C45" s="22" t="s">
        <v>690</v>
      </c>
      <c r="D45" s="25">
        <v>906666666.66666663</v>
      </c>
      <c r="E45" s="25">
        <f>SUMIFS(Compras!N:N,Compras!G:G,$A$44,Compras!D:D,C45)</f>
        <v>2181320397.575799</v>
      </c>
      <c r="F45" s="25">
        <f>SUMIFS(Facturado!Q:Q,Facturado!K:K,$A$44,Facturado!C:C,C45)</f>
        <v>458153179.84000009</v>
      </c>
      <c r="G45" s="25">
        <f>IF(E45=0,F45,SUMIFS(Facturado!Q:Q,Facturado!K:K,$A$44,Facturado!C:C,C45,Facturado!H:H,"SI"))</f>
        <v>276638873.16000003</v>
      </c>
      <c r="H45" s="23">
        <f>F45-G45</f>
        <v>181514306.68000007</v>
      </c>
      <c r="I45" s="25">
        <f>IF(H45&lt;E45,E45-H45,0)</f>
        <v>1999806090.8957989</v>
      </c>
      <c r="J45" s="25">
        <f>I45+I46</f>
        <v>1999806090.8957989</v>
      </c>
      <c r="K45" s="25">
        <f>IF(F48&lt;D48,(F48+J45),F48)</f>
        <v>2744778052.1499996</v>
      </c>
      <c r="L45" s="26">
        <f>IFERROR(((K45/D48)*100)/100,0)</f>
        <v>1.0091095779963233</v>
      </c>
    </row>
    <row r="46" spans="1:13" x14ac:dyDescent="0.3">
      <c r="A46" s="20"/>
      <c r="B46" s="38"/>
      <c r="C46" s="22" t="s">
        <v>691</v>
      </c>
      <c r="D46" s="25">
        <v>906666666.66666663</v>
      </c>
      <c r="E46" s="25">
        <f>SUMIFS(Compras!N:N,Compras!G:G,$A$44,Compras!D:D,C46)</f>
        <v>39604245.035399988</v>
      </c>
      <c r="F46" s="25">
        <f>SUMIFS(Facturado!Q:Q,Facturado!K:K,$A$44,Facturado!C:C,C46)</f>
        <v>985586884.09999979</v>
      </c>
      <c r="G46" s="25">
        <f>IF(E46=0,F46,SUMIFS(Facturado!Q:Q,Facturado!K:K,$A$44,Facturado!C:C,C46,Facturado!H:H,"SI"))</f>
        <v>107881595.94</v>
      </c>
      <c r="H46" s="23">
        <f t="shared" ref="H46:H47" si="8">F46-G46</f>
        <v>877705288.15999985</v>
      </c>
      <c r="I46" s="25">
        <f>IF(H46&lt;E46,E46-H46,0)</f>
        <v>0</v>
      </c>
      <c r="J46" s="27"/>
    </row>
    <row r="47" spans="1:13" x14ac:dyDescent="0.3">
      <c r="A47" s="20"/>
      <c r="B47" s="38"/>
      <c r="C47" s="22" t="s">
        <v>692</v>
      </c>
      <c r="D47" s="25">
        <v>906666666.66666663</v>
      </c>
      <c r="E47" s="25">
        <f>SUMIFS(Compras!N:N,Compras!G:G,$A$44,Compras!D:D,C47)</f>
        <v>218263960.21519998</v>
      </c>
      <c r="F47" s="25">
        <f>SUMIFS(Facturado!Q:Q,Facturado!K:K,$A$44,Facturado!C:C,C47)</f>
        <v>1301037988.2099996</v>
      </c>
      <c r="G47" s="25">
        <f>IF(E47=0,F47,SUMIFS(Facturado!Q:Q,Facturado!K:K,$A$44,Facturado!C:C,C47,Facturado!H:H,"SI"))</f>
        <v>579532390.60000002</v>
      </c>
      <c r="H47" s="23">
        <f t="shared" si="8"/>
        <v>721505597.60999954</v>
      </c>
      <c r="I47" s="22"/>
    </row>
    <row r="48" spans="1:13" x14ac:dyDescent="0.3">
      <c r="B48" s="38"/>
      <c r="C48" s="21" t="s">
        <v>706</v>
      </c>
      <c r="D48" s="25">
        <f>SUM(D45:D47)</f>
        <v>2720000000</v>
      </c>
      <c r="E48" s="25"/>
      <c r="F48" s="25">
        <f>SUM(F45:F47)</f>
        <v>2744778052.1499996</v>
      </c>
      <c r="G48" s="25"/>
      <c r="H48" s="23"/>
      <c r="I48" s="25"/>
      <c r="J48" s="27"/>
    </row>
    <row r="49" spans="2:12" x14ac:dyDescent="0.3">
      <c r="B49" s="32"/>
      <c r="C49" s="21" t="s">
        <v>689</v>
      </c>
      <c r="D49" s="21" t="s">
        <v>5</v>
      </c>
      <c r="E49" s="21" t="s">
        <v>686</v>
      </c>
      <c r="F49" s="21" t="s">
        <v>685</v>
      </c>
      <c r="G49" s="21" t="s">
        <v>698</v>
      </c>
      <c r="H49" s="21" t="s">
        <v>697</v>
      </c>
      <c r="I49" s="21" t="s">
        <v>709</v>
      </c>
      <c r="J49" s="21" t="s">
        <v>693</v>
      </c>
      <c r="K49" s="21" t="s">
        <v>710</v>
      </c>
      <c r="L49" s="21" t="s">
        <v>708</v>
      </c>
    </row>
    <row r="50" spans="2:12" x14ac:dyDescent="0.3">
      <c r="B50" s="38" t="s">
        <v>701</v>
      </c>
      <c r="C50" s="22" t="s">
        <v>716</v>
      </c>
      <c r="D50" s="25">
        <v>1133333333.3333333</v>
      </c>
      <c r="E50" s="25">
        <f>SUMIFS(Compras!N:N,Compras!G:G,$A$44,Compras!D:D,C50)</f>
        <v>325253655.73500007</v>
      </c>
      <c r="F50" s="25">
        <f>SUMIFS(Facturado!Q:Q,Facturado!K:K,$A$44,Facturado!C:C,C50)</f>
        <v>793259224.41000009</v>
      </c>
      <c r="G50" s="25">
        <f>IF(E50=0,F50,SUMIFS(Facturado!Q:Q,Facturado!K:K,$A$44,Facturado!C:C,C50,Facturado!I:I,"&lt;&gt;Q2"))</f>
        <v>600782492.30000007</v>
      </c>
      <c r="H50" s="23">
        <f>F50-G50</f>
        <v>192476732.11000001</v>
      </c>
      <c r="I50" s="25">
        <f>IF(H50&lt;E50,E50-H50,0)</f>
        <v>132776923.62500006</v>
      </c>
      <c r="J50" s="25">
        <f>I50+I51</f>
        <v>1115643525.0987999</v>
      </c>
      <c r="K50" s="25">
        <f>IF(F53&lt;D53,(F53+J50),F53)</f>
        <v>4231388015.7888002</v>
      </c>
      <c r="L50" s="26">
        <f>IFERROR(((K50/D53)*100)/100,0)</f>
        <v>1.244525886996706</v>
      </c>
    </row>
    <row r="51" spans="2:12" x14ac:dyDescent="0.3">
      <c r="B51" s="38"/>
      <c r="C51" s="22" t="s">
        <v>717</v>
      </c>
      <c r="D51" s="25">
        <v>1133333333.3333333</v>
      </c>
      <c r="E51" s="25">
        <f>SUMIFS(Compras!N:N,Compras!G:G,$A$44,Compras!D:D,C51)</f>
        <v>987761826.69379997</v>
      </c>
      <c r="F51" s="25">
        <f>SUMIFS(Facturado!Q:Q,Facturado!K:K,$A$44,Facturado!C:C,C51)</f>
        <v>881221264.65999997</v>
      </c>
      <c r="G51" s="25">
        <f>IF(E51=0,F51,SUMIFS(Facturado!Q:Q,Facturado!K:K,$A$44,Facturado!C:C,C51,Facturado!I:I,"&lt;&gt;Q2"))</f>
        <v>876326039.43999994</v>
      </c>
      <c r="H51" s="23">
        <f t="shared" ref="H51:H52" si="9">F51-G51</f>
        <v>4895225.2200000286</v>
      </c>
      <c r="I51" s="25">
        <f>IF(H51&lt;E51,E51-H51,0)</f>
        <v>982866601.47379994</v>
      </c>
      <c r="J51" s="27"/>
    </row>
    <row r="52" spans="2:12" x14ac:dyDescent="0.3">
      <c r="B52" s="38"/>
      <c r="C52" s="22" t="s">
        <v>718</v>
      </c>
      <c r="D52" s="25">
        <v>1133333333.3333333</v>
      </c>
      <c r="E52" s="25">
        <f>SUMIFS(Compras!N:N,Compras!G:G,$A$44,Compras!D:D,C52)</f>
        <v>143451024.63380003</v>
      </c>
      <c r="F52" s="25">
        <f>SUMIFS(Facturado!Q:Q,Facturado!K:K,$A$44,Facturado!C:C,C52)</f>
        <v>1441264001.6199999</v>
      </c>
      <c r="G52" s="25">
        <f>IF(E52=0,F52,SUMIFS(Facturado!Q:Q,Facturado!K:K,$A$44,Facturado!C:C,C52,Facturado!I:I,"&lt;&gt;Q2"))</f>
        <v>121737498.33000001</v>
      </c>
      <c r="H52" s="23">
        <f t="shared" si="9"/>
        <v>1319526503.29</v>
      </c>
      <c r="I52" s="22"/>
    </row>
    <row r="53" spans="2:12" x14ac:dyDescent="0.3">
      <c r="B53" s="38"/>
      <c r="C53" s="21" t="s">
        <v>706</v>
      </c>
      <c r="D53" s="25">
        <f>SUM(D50:D52)</f>
        <v>3400000000</v>
      </c>
      <c r="E53" s="25"/>
      <c r="F53" s="25">
        <f>SUM(F50:F52)</f>
        <v>3115744490.6900001</v>
      </c>
      <c r="G53" s="25"/>
      <c r="H53" s="23"/>
      <c r="I53" s="25"/>
      <c r="J53" s="27"/>
    </row>
    <row r="54" spans="2:12" x14ac:dyDescent="0.3">
      <c r="B54" s="32"/>
      <c r="C54" s="21" t="s">
        <v>689</v>
      </c>
      <c r="D54" s="21" t="s">
        <v>5</v>
      </c>
      <c r="E54" s="21" t="s">
        <v>686</v>
      </c>
      <c r="F54" s="21" t="s">
        <v>685</v>
      </c>
      <c r="G54" s="21" t="s">
        <v>698</v>
      </c>
      <c r="H54" s="21" t="s">
        <v>697</v>
      </c>
      <c r="I54" s="21" t="s">
        <v>709</v>
      </c>
      <c r="J54" s="21" t="s">
        <v>693</v>
      </c>
      <c r="K54" s="21" t="s">
        <v>712</v>
      </c>
      <c r="L54" s="21" t="s">
        <v>708</v>
      </c>
    </row>
    <row r="55" spans="2:12" x14ac:dyDescent="0.3">
      <c r="B55" s="38" t="s">
        <v>702</v>
      </c>
      <c r="C55" s="22" t="s">
        <v>719</v>
      </c>
      <c r="D55" s="25">
        <v>1360000000</v>
      </c>
      <c r="E55" s="25">
        <f>SUMIFS(Compras!N:N,Compras!G:G,$A$44,Compras!D:D,C55)</f>
        <v>40856354.505800001</v>
      </c>
      <c r="F55" s="25">
        <f>SUMIFS(Facturado!Q:Q,Facturado!K:K,$A$44,Facturado!C:C,C55)</f>
        <v>279903711.82999998</v>
      </c>
      <c r="G55" s="25">
        <f>IF(E55=0,F55,SUMIFS(Facturado!Q:Q,Facturado!K:K,$A$44,Facturado!C:C,C55,Facturado!I:I,"&lt;&gt;Q3"))</f>
        <v>267359747.76999998</v>
      </c>
      <c r="H55" s="23">
        <f>F55-G55</f>
        <v>12543964.060000002</v>
      </c>
      <c r="I55" s="25">
        <f>IF(H55&lt;E55,E55-H55,0)</f>
        <v>28312390.445799999</v>
      </c>
      <c r="J55" s="25">
        <f>I55+I56</f>
        <v>45431722.136400007</v>
      </c>
      <c r="K55" s="25">
        <f>IF(F58&lt;D58,(F58+J55),F58)</f>
        <v>402931333.00639993</v>
      </c>
      <c r="L55" s="26">
        <f>IFERROR(((K55/D58)*100)/100,0)</f>
        <v>9.8757679658431352E-2</v>
      </c>
    </row>
    <row r="56" spans="2:12" x14ac:dyDescent="0.3">
      <c r="B56" s="38"/>
      <c r="C56" s="22" t="s">
        <v>720</v>
      </c>
      <c r="D56" s="25">
        <v>1360000000</v>
      </c>
      <c r="E56" s="25">
        <f>SUMIFS(Compras!N:N,Compras!G:G,$A$44,Compras!D:D,C56)</f>
        <v>41060321.630600005</v>
      </c>
      <c r="F56" s="25">
        <f>SUMIFS(Facturado!Q:Q,Facturado!K:K,$A$44,Facturado!C:C,C56)</f>
        <v>26455756.339999996</v>
      </c>
      <c r="G56" s="25">
        <f>IF(E56=0,F56,SUMIFS(Facturado!Q:Q,Facturado!K:K,$A$44,Facturado!C:C,C56,Facturado!I:I,"&lt;&gt;Q3"))</f>
        <v>2514766.4</v>
      </c>
      <c r="H56" s="23">
        <f t="shared" ref="H56:H57" si="10">F56-G56</f>
        <v>23940989.939999998</v>
      </c>
      <c r="I56" s="25">
        <f>IF(H56&lt;E56,E56-H56,0)</f>
        <v>17119331.690600008</v>
      </c>
      <c r="J56" s="27"/>
    </row>
    <row r="57" spans="2:12" x14ac:dyDescent="0.3">
      <c r="B57" s="38"/>
      <c r="C57" s="22" t="s">
        <v>721</v>
      </c>
      <c r="D57" s="25">
        <v>1360000000</v>
      </c>
      <c r="E57" s="25">
        <f>SUMIFS(Compras!N:N,Compras!G:G,$A$44,Compras!D:D,C57)</f>
        <v>44997568.352400005</v>
      </c>
      <c r="F57" s="25">
        <f>SUMIFS(Facturado!Q:Q,Facturado!K:K,$A$44,Facturado!C:C,C57)</f>
        <v>51140142.700000003</v>
      </c>
      <c r="G57" s="25">
        <f>IF(E57=0,F57,SUMIFS(Facturado!Q:Q,Facturado!K:K,$A$44,Facturado!C:C,C57,Facturado!I:I,"&lt;&gt;Q3"))</f>
        <v>36846885.549999997</v>
      </c>
      <c r="H57" s="23">
        <f t="shared" si="10"/>
        <v>14293257.150000006</v>
      </c>
      <c r="I57" s="22"/>
    </row>
    <row r="58" spans="2:12" x14ac:dyDescent="0.3">
      <c r="B58" s="38"/>
      <c r="C58" s="21" t="s">
        <v>706</v>
      </c>
      <c r="D58" s="25">
        <f>SUM(D55:D57)</f>
        <v>4080000000</v>
      </c>
      <c r="E58" s="25"/>
      <c r="F58" s="25">
        <f>SUM(F55:F57)</f>
        <v>357499610.86999995</v>
      </c>
      <c r="G58" s="25"/>
      <c r="H58" s="23"/>
      <c r="I58" s="25"/>
      <c r="J58" s="27"/>
    </row>
    <row r="59" spans="2:12" x14ac:dyDescent="0.3">
      <c r="B59" s="32"/>
      <c r="C59" s="21" t="s">
        <v>689</v>
      </c>
      <c r="D59" s="21" t="s">
        <v>5</v>
      </c>
      <c r="E59" s="21" t="s">
        <v>686</v>
      </c>
      <c r="F59" s="21" t="s">
        <v>685</v>
      </c>
      <c r="G59" s="21" t="s">
        <v>698</v>
      </c>
      <c r="H59" s="21" t="s">
        <v>697</v>
      </c>
      <c r="I59" s="21" t="s">
        <v>709</v>
      </c>
      <c r="J59" s="21" t="s">
        <v>693</v>
      </c>
      <c r="K59" s="21" t="s">
        <v>714</v>
      </c>
      <c r="L59" s="21" t="s">
        <v>708</v>
      </c>
    </row>
    <row r="60" spans="2:12" x14ac:dyDescent="0.3">
      <c r="B60" s="38" t="s">
        <v>703</v>
      </c>
      <c r="C60" s="22" t="s">
        <v>722</v>
      </c>
      <c r="D60" s="25">
        <v>1133333333.3333333</v>
      </c>
      <c r="E60" s="25">
        <f>SUMIFS(Compras!N:N,Compras!G:G,$A$44,Compras!D:D,C60)</f>
        <v>0</v>
      </c>
      <c r="F60" s="25">
        <f>SUMIFS(Facturado!Q:Q,Facturado!K:K,$A$44,Facturado!C:C,C60)</f>
        <v>0</v>
      </c>
      <c r="G60" s="25">
        <f>IF(E60=0,F60,SUMIFS(Facturado!Q:Q,Facturado!K:K,$A$44,Facturado!C:C,C60,Facturado!I:I,"&lt;&gt;Q2"))</f>
        <v>0</v>
      </c>
      <c r="H60" s="23">
        <f>F60-G60</f>
        <v>0</v>
      </c>
      <c r="I60" s="25">
        <f>IF(H60&lt;E60,E60-H60,0)</f>
        <v>0</v>
      </c>
      <c r="J60" s="25">
        <f>I60+I61</f>
        <v>0</v>
      </c>
      <c r="K60" s="25">
        <f>IF(F63&lt;D63,(F63+J60),F63)</f>
        <v>0</v>
      </c>
      <c r="L60" s="26">
        <f>IFERROR(((K60/D63)*100)/100,0)</f>
        <v>0</v>
      </c>
    </row>
    <row r="61" spans="2:12" x14ac:dyDescent="0.3">
      <c r="B61" s="38"/>
      <c r="C61" s="22" t="s">
        <v>723</v>
      </c>
      <c r="D61" s="25">
        <v>1133333333.3333333</v>
      </c>
      <c r="E61" s="25">
        <f>SUMIFS(Compras!N:N,Compras!G:G,$A$44,Compras!D:D,C61)</f>
        <v>0</v>
      </c>
      <c r="F61" s="25">
        <f>SUMIFS(Facturado!Q:Q,Facturado!K:K,$A$44,Facturado!C:C,C61)</f>
        <v>0</v>
      </c>
      <c r="G61" s="25">
        <f>IF(E61=0,F61,SUMIFS(Facturado!Q:Q,Facturado!K:K,$A$44,Facturado!C:C,C61,Facturado!I:I,"&lt;&gt;Q2"))</f>
        <v>0</v>
      </c>
      <c r="H61" s="23">
        <f t="shared" ref="H61:H62" si="11">F61-G61</f>
        <v>0</v>
      </c>
      <c r="I61" s="25">
        <f>IF(H61&lt;E61,E61-H61,0)</f>
        <v>0</v>
      </c>
      <c r="J61" s="27"/>
    </row>
    <row r="62" spans="2:12" x14ac:dyDescent="0.3">
      <c r="B62" s="38"/>
      <c r="C62" s="22" t="s">
        <v>724</v>
      </c>
      <c r="D62" s="25">
        <v>1133333333.3333333</v>
      </c>
      <c r="E62" s="25">
        <f>SUMIFS(Compras!N:N,Compras!G:G,$A$44,Compras!D:D,C62)</f>
        <v>0</v>
      </c>
      <c r="F62" s="25">
        <f>SUMIFS(Facturado!Q:Q,Facturado!K:K,$A$44,Facturado!C:C,C62)</f>
        <v>0</v>
      </c>
      <c r="G62" s="25">
        <f>IF(E62=0,F62,SUMIFS(Facturado!Q:Q,Facturado!K:K,$A$44,Facturado!C:C,C62,Facturado!I:I,"&lt;&gt;Q2"))</f>
        <v>0</v>
      </c>
      <c r="H62" s="23">
        <f t="shared" si="11"/>
        <v>0</v>
      </c>
      <c r="I62" s="22"/>
    </row>
    <row r="63" spans="2:12" x14ac:dyDescent="0.3">
      <c r="B63" s="38"/>
      <c r="C63" s="21" t="s">
        <v>706</v>
      </c>
      <c r="D63" s="25">
        <f>SUM(D60:D62)</f>
        <v>3400000000</v>
      </c>
      <c r="E63" s="25"/>
      <c r="F63" s="25">
        <f>SUM(F60:F62)</f>
        <v>0</v>
      </c>
      <c r="G63" s="25"/>
      <c r="H63" s="23"/>
      <c r="I63" s="25"/>
      <c r="J63" s="27"/>
    </row>
  </sheetData>
  <mergeCells count="12">
    <mergeCell ref="B45:B48"/>
    <mergeCell ref="B50:B53"/>
    <mergeCell ref="B55:B58"/>
    <mergeCell ref="B60:B63"/>
    <mergeCell ref="B29:B32"/>
    <mergeCell ref="B34:B37"/>
    <mergeCell ref="B39:B42"/>
    <mergeCell ref="B8:B11"/>
    <mergeCell ref="B13:B16"/>
    <mergeCell ref="B18:B21"/>
    <mergeCell ref="B3:B6"/>
    <mergeCell ref="B24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3"/>
  <sheetViews>
    <sheetView tabSelected="1" workbookViewId="0">
      <selection activeCell="A25" sqref="A25"/>
    </sheetView>
  </sheetViews>
  <sheetFormatPr baseColWidth="10" defaultColWidth="9.109375" defaultRowHeight="14.4" x14ac:dyDescent="0.3"/>
  <cols>
    <col min="1" max="1" width="11.88671875" customWidth="1"/>
    <col min="2" max="2" width="14" customWidth="1"/>
    <col min="3" max="3" width="12.6640625" bestFit="1" customWidth="1"/>
    <col min="4" max="4" width="16.109375" customWidth="1"/>
    <col min="5" max="5" width="10.33203125" customWidth="1"/>
    <col min="6" max="6" width="18.109375" style="18" bestFit="1" customWidth="1"/>
    <col min="7" max="7" width="16.109375" customWidth="1"/>
    <col min="8" max="8" width="18.109375" bestFit="1" customWidth="1"/>
    <col min="9" max="9" width="18.109375" customWidth="1"/>
    <col min="10" max="10" width="27.6640625" customWidth="1"/>
    <col min="11" max="11" width="34.44140625" bestFit="1" customWidth="1"/>
    <col min="12" max="12" width="19.44140625" bestFit="1" customWidth="1"/>
    <col min="13" max="13" width="30.6640625" customWidth="1"/>
    <col min="14" max="14" width="20" customWidth="1"/>
    <col min="15" max="15" width="8.44140625" bestFit="1" customWidth="1"/>
    <col min="16" max="16" width="14.33203125" bestFit="1" customWidth="1"/>
    <col min="17" max="17" width="16.6640625" style="10" bestFit="1" customWidth="1"/>
  </cols>
  <sheetData>
    <row r="1" spans="1:18" x14ac:dyDescent="0.3">
      <c r="A1" s="1" t="s">
        <v>94</v>
      </c>
      <c r="B1" s="16" t="s">
        <v>694</v>
      </c>
      <c r="C1" s="12" t="s">
        <v>687</v>
      </c>
      <c r="D1" s="16" t="s">
        <v>3</v>
      </c>
      <c r="E1" s="1" t="s">
        <v>11</v>
      </c>
      <c r="F1" s="19" t="s">
        <v>695</v>
      </c>
      <c r="G1" s="17" t="s">
        <v>687</v>
      </c>
      <c r="H1" s="17" t="s">
        <v>696</v>
      </c>
      <c r="I1" s="17" t="s">
        <v>758</v>
      </c>
      <c r="J1" s="1" t="s">
        <v>93</v>
      </c>
      <c r="K1" s="1" t="s">
        <v>602</v>
      </c>
      <c r="L1" s="1" t="s">
        <v>603</v>
      </c>
      <c r="M1" s="1" t="s">
        <v>608</v>
      </c>
      <c r="N1" s="1" t="s">
        <v>609</v>
      </c>
      <c r="O1" s="1" t="s">
        <v>610</v>
      </c>
      <c r="P1" s="1" t="s">
        <v>611</v>
      </c>
      <c r="Q1" s="8" t="s">
        <v>4</v>
      </c>
      <c r="R1" s="1" t="s">
        <v>756</v>
      </c>
    </row>
    <row r="2" spans="1:18" x14ac:dyDescent="0.3">
      <c r="A2" s="2" t="s">
        <v>735</v>
      </c>
      <c r="B2" s="15">
        <v>46269</v>
      </c>
      <c r="C2" t="s">
        <v>721</v>
      </c>
      <c r="D2" s="3" t="s">
        <v>702</v>
      </c>
      <c r="E2" s="2" t="s">
        <v>612</v>
      </c>
      <c r="F2" s="3">
        <v>46261.585914351846</v>
      </c>
      <c r="G2" s="3" t="s">
        <v>720</v>
      </c>
      <c r="H2" t="s">
        <v>759</v>
      </c>
      <c r="I2" t="s">
        <v>702</v>
      </c>
      <c r="J2" s="2" t="s">
        <v>8</v>
      </c>
      <c r="K2" s="2" t="s">
        <v>726</v>
      </c>
      <c r="L2" s="2" t="s">
        <v>79</v>
      </c>
      <c r="M2" s="2" t="s">
        <v>617</v>
      </c>
      <c r="N2" s="2">
        <v>5</v>
      </c>
      <c r="O2" s="2" t="s">
        <v>0</v>
      </c>
      <c r="P2" s="2">
        <v>303755.63</v>
      </c>
      <c r="Q2" s="13">
        <v>1518778.15</v>
      </c>
      <c r="R2" t="s">
        <v>757</v>
      </c>
    </row>
    <row r="3" spans="1:18" x14ac:dyDescent="0.3">
      <c r="A3" s="2" t="s">
        <v>736</v>
      </c>
      <c r="B3" s="15">
        <v>46269</v>
      </c>
      <c r="C3" t="s">
        <v>721</v>
      </c>
      <c r="D3" s="3" t="s">
        <v>702</v>
      </c>
      <c r="E3" s="2" t="s">
        <v>111</v>
      </c>
      <c r="F3" s="3">
        <v>46212.504710648151</v>
      </c>
      <c r="G3" s="3" t="s">
        <v>719</v>
      </c>
      <c r="H3" t="s">
        <v>759</v>
      </c>
      <c r="I3" t="s">
        <v>702</v>
      </c>
      <c r="J3" s="2" t="s">
        <v>8</v>
      </c>
      <c r="K3" s="2" t="s">
        <v>726</v>
      </c>
      <c r="L3" s="2" t="s">
        <v>83</v>
      </c>
      <c r="M3" s="2" t="s">
        <v>667</v>
      </c>
      <c r="N3" s="2">
        <v>10</v>
      </c>
      <c r="O3" s="2" t="s">
        <v>0</v>
      </c>
      <c r="P3" s="2">
        <v>194963.11</v>
      </c>
      <c r="Q3" s="13">
        <v>1949631.0999999999</v>
      </c>
      <c r="R3" t="s">
        <v>757</v>
      </c>
    </row>
    <row r="4" spans="1:18" x14ac:dyDescent="0.3">
      <c r="A4" s="2" t="s">
        <v>737</v>
      </c>
      <c r="B4" s="15">
        <v>46269</v>
      </c>
      <c r="C4" t="s">
        <v>721</v>
      </c>
      <c r="D4" s="3" t="s">
        <v>702</v>
      </c>
      <c r="E4" s="2" t="s">
        <v>109</v>
      </c>
      <c r="F4" s="3">
        <v>46190.653761574067</v>
      </c>
      <c r="G4" s="3" t="s">
        <v>718</v>
      </c>
      <c r="H4" t="s">
        <v>759</v>
      </c>
      <c r="I4" t="s">
        <v>701</v>
      </c>
      <c r="J4" s="2" t="s">
        <v>8</v>
      </c>
      <c r="K4" s="2" t="s">
        <v>726</v>
      </c>
      <c r="L4" s="2" t="s">
        <v>83</v>
      </c>
      <c r="M4" s="2" t="s">
        <v>667</v>
      </c>
      <c r="N4" s="2">
        <v>15</v>
      </c>
      <c r="O4" s="2" t="s">
        <v>0</v>
      </c>
      <c r="P4" s="2">
        <v>193859.22</v>
      </c>
      <c r="Q4" s="13">
        <v>2907888.3</v>
      </c>
      <c r="R4" t="s">
        <v>757</v>
      </c>
    </row>
    <row r="5" spans="1:18" x14ac:dyDescent="0.3">
      <c r="A5" s="2" t="s">
        <v>738</v>
      </c>
      <c r="B5" s="15">
        <v>46268</v>
      </c>
      <c r="C5" t="s">
        <v>721</v>
      </c>
      <c r="D5" s="3" t="s">
        <v>702</v>
      </c>
      <c r="E5" s="2" t="s">
        <v>744</v>
      </c>
      <c r="F5" s="3">
        <v>46269.629629629628</v>
      </c>
      <c r="G5" s="3" t="s">
        <v>721</v>
      </c>
      <c r="H5" t="s">
        <v>759</v>
      </c>
      <c r="I5" t="s">
        <v>702</v>
      </c>
      <c r="J5" s="2" t="s">
        <v>1</v>
      </c>
      <c r="K5" s="2" t="s">
        <v>6</v>
      </c>
      <c r="L5" s="2" t="s">
        <v>6</v>
      </c>
      <c r="M5" s="2" t="s">
        <v>746</v>
      </c>
      <c r="N5" s="2">
        <v>1</v>
      </c>
      <c r="O5" s="2" t="s">
        <v>0</v>
      </c>
      <c r="P5" s="2">
        <v>1810630.25</v>
      </c>
      <c r="Q5" s="13">
        <v>1810630.25</v>
      </c>
      <c r="R5" t="s">
        <v>757</v>
      </c>
    </row>
    <row r="6" spans="1:18" x14ac:dyDescent="0.3">
      <c r="A6" s="2" t="s">
        <v>739</v>
      </c>
      <c r="B6" s="15">
        <v>46268</v>
      </c>
      <c r="C6" t="s">
        <v>721</v>
      </c>
      <c r="D6" s="3" t="s">
        <v>702</v>
      </c>
      <c r="E6" s="2"/>
      <c r="F6" s="2"/>
      <c r="G6" s="3" t="s">
        <v>690</v>
      </c>
      <c r="H6" t="s">
        <v>759</v>
      </c>
      <c r="I6" t="s">
        <v>699</v>
      </c>
      <c r="J6" s="2" t="s">
        <v>8</v>
      </c>
      <c r="K6" s="2" t="s">
        <v>726</v>
      </c>
      <c r="L6" s="2" t="s">
        <v>84</v>
      </c>
      <c r="M6" s="2" t="s">
        <v>406</v>
      </c>
      <c r="N6" s="2">
        <v>47</v>
      </c>
      <c r="O6" s="2" t="s">
        <v>0</v>
      </c>
      <c r="P6" s="2">
        <v>58568.94</v>
      </c>
      <c r="Q6" s="13">
        <v>2752740.18</v>
      </c>
      <c r="R6" t="s">
        <v>757</v>
      </c>
    </row>
    <row r="7" spans="1:18" x14ac:dyDescent="0.3">
      <c r="A7" s="2" t="s">
        <v>740</v>
      </c>
      <c r="B7" s="15">
        <v>46268</v>
      </c>
      <c r="C7" t="s">
        <v>721</v>
      </c>
      <c r="D7" s="3" t="s">
        <v>702</v>
      </c>
      <c r="E7" s="2" t="s">
        <v>614</v>
      </c>
      <c r="F7" s="3">
        <v>46255.552129629628</v>
      </c>
      <c r="G7" s="3" t="s">
        <v>720</v>
      </c>
      <c r="H7" t="s">
        <v>759</v>
      </c>
      <c r="I7" t="s">
        <v>702</v>
      </c>
      <c r="J7" s="2" t="s">
        <v>2</v>
      </c>
      <c r="K7" s="2" t="s">
        <v>726</v>
      </c>
      <c r="L7" s="2" t="s">
        <v>80</v>
      </c>
      <c r="M7" s="2" t="s">
        <v>662</v>
      </c>
      <c r="N7" s="2">
        <v>1</v>
      </c>
      <c r="O7" s="2" t="s">
        <v>0</v>
      </c>
      <c r="P7" s="2">
        <v>10824847.9</v>
      </c>
      <c r="Q7" s="13">
        <v>10824847.9</v>
      </c>
      <c r="R7" t="s">
        <v>757</v>
      </c>
    </row>
    <row r="8" spans="1:18" x14ac:dyDescent="0.3">
      <c r="A8" s="2" t="s">
        <v>741</v>
      </c>
      <c r="B8" s="15">
        <v>46268</v>
      </c>
      <c r="C8" t="s">
        <v>721</v>
      </c>
      <c r="D8" s="3" t="s">
        <v>702</v>
      </c>
      <c r="E8" s="2" t="s">
        <v>121</v>
      </c>
      <c r="F8" s="3">
        <v>46191.393877314818</v>
      </c>
      <c r="G8" s="3" t="s">
        <v>718</v>
      </c>
      <c r="H8" t="s">
        <v>759</v>
      </c>
      <c r="I8" t="s">
        <v>701</v>
      </c>
      <c r="J8" s="2" t="s">
        <v>1</v>
      </c>
      <c r="K8" s="2" t="s">
        <v>745</v>
      </c>
      <c r="L8" s="2" t="s">
        <v>89</v>
      </c>
      <c r="M8" s="2" t="s">
        <v>578</v>
      </c>
      <c r="N8" s="2">
        <v>10</v>
      </c>
      <c r="O8" s="2" t="s">
        <v>0</v>
      </c>
      <c r="P8" s="2">
        <v>18995.04</v>
      </c>
      <c r="Q8" s="13">
        <v>189950.40000000002</v>
      </c>
      <c r="R8" t="s">
        <v>757</v>
      </c>
    </row>
    <row r="9" spans="1:18" x14ac:dyDescent="0.3">
      <c r="A9" s="2" t="s">
        <v>742</v>
      </c>
      <c r="B9" s="15">
        <v>46268</v>
      </c>
      <c r="C9" t="s">
        <v>721</v>
      </c>
      <c r="D9" s="3" t="s">
        <v>702</v>
      </c>
      <c r="E9" s="2" t="s">
        <v>28</v>
      </c>
      <c r="F9" s="3">
        <v>46126.40351851852</v>
      </c>
      <c r="G9" s="3" t="s">
        <v>716</v>
      </c>
      <c r="H9" t="s">
        <v>759</v>
      </c>
      <c r="I9" t="s">
        <v>701</v>
      </c>
      <c r="J9" s="2" t="s">
        <v>8</v>
      </c>
      <c r="K9" s="2" t="s">
        <v>726</v>
      </c>
      <c r="L9" s="2" t="s">
        <v>84</v>
      </c>
      <c r="M9" s="2" t="s">
        <v>406</v>
      </c>
      <c r="N9" s="2">
        <v>47</v>
      </c>
      <c r="O9" s="2" t="s">
        <v>0</v>
      </c>
      <c r="P9" s="2">
        <v>62384.05</v>
      </c>
      <c r="Q9" s="13">
        <v>2932050.35</v>
      </c>
      <c r="R9" t="s">
        <v>757</v>
      </c>
    </row>
    <row r="10" spans="1:18" x14ac:dyDescent="0.3">
      <c r="A10" s="2" t="s">
        <v>743</v>
      </c>
      <c r="B10" s="15">
        <v>46268</v>
      </c>
      <c r="C10" t="s">
        <v>721</v>
      </c>
      <c r="D10" s="3" t="s">
        <v>702</v>
      </c>
      <c r="E10" s="2" t="s">
        <v>69</v>
      </c>
      <c r="F10" s="3">
        <v>46050.437291666669</v>
      </c>
      <c r="G10" s="3" t="s">
        <v>690</v>
      </c>
      <c r="H10" t="s">
        <v>759</v>
      </c>
      <c r="I10" t="s">
        <v>699</v>
      </c>
      <c r="J10" s="2" t="s">
        <v>2</v>
      </c>
      <c r="K10" s="2" t="s">
        <v>726</v>
      </c>
      <c r="L10" s="2" t="s">
        <v>80</v>
      </c>
      <c r="M10" s="2" t="s">
        <v>521</v>
      </c>
      <c r="N10" s="2">
        <v>2</v>
      </c>
      <c r="O10" s="2" t="s">
        <v>0</v>
      </c>
      <c r="P10" s="2">
        <v>14127103.359999999</v>
      </c>
      <c r="Q10" s="13">
        <v>28254206.719999999</v>
      </c>
      <c r="R10" t="s">
        <v>757</v>
      </c>
    </row>
    <row r="11" spans="1:18" x14ac:dyDescent="0.3">
      <c r="A11" s="2" t="s">
        <v>95</v>
      </c>
      <c r="B11" s="15">
        <v>46254</v>
      </c>
      <c r="C11" t="s">
        <v>720</v>
      </c>
      <c r="D11" s="3" t="s">
        <v>702</v>
      </c>
      <c r="E11" s="2" t="s">
        <v>96</v>
      </c>
      <c r="F11" s="3">
        <v>46248.648368055547</v>
      </c>
      <c r="G11" s="3" t="s">
        <v>720</v>
      </c>
      <c r="H11" t="s">
        <v>759</v>
      </c>
      <c r="I11" t="s">
        <v>702</v>
      </c>
      <c r="J11" s="2" t="s">
        <v>8</v>
      </c>
      <c r="K11" s="2" t="s">
        <v>726</v>
      </c>
      <c r="L11" s="2" t="s">
        <v>79</v>
      </c>
      <c r="M11" s="2" t="s">
        <v>388</v>
      </c>
      <c r="N11" s="2">
        <v>1</v>
      </c>
      <c r="O11" s="2" t="s">
        <v>0</v>
      </c>
      <c r="P11" s="2">
        <v>275908.40000000002</v>
      </c>
      <c r="Q11" s="13">
        <v>275908.40000000002</v>
      </c>
      <c r="R11" t="s">
        <v>757</v>
      </c>
    </row>
    <row r="12" spans="1:18" x14ac:dyDescent="0.3">
      <c r="A12" s="2" t="s">
        <v>97</v>
      </c>
      <c r="B12" s="15">
        <v>46254</v>
      </c>
      <c r="C12" t="s">
        <v>720</v>
      </c>
      <c r="D12" s="3" t="s">
        <v>702</v>
      </c>
      <c r="E12" s="2" t="s">
        <v>98</v>
      </c>
      <c r="F12" s="3">
        <v>46248.651041666657</v>
      </c>
      <c r="G12" s="3" t="s">
        <v>720</v>
      </c>
      <c r="H12" t="s">
        <v>759</v>
      </c>
      <c r="I12" t="s">
        <v>702</v>
      </c>
      <c r="J12" s="2" t="s">
        <v>8</v>
      </c>
      <c r="K12" s="2" t="s">
        <v>726</v>
      </c>
      <c r="L12" s="2" t="s">
        <v>90</v>
      </c>
      <c r="M12" s="2" t="s">
        <v>389</v>
      </c>
      <c r="N12" s="2">
        <v>25</v>
      </c>
      <c r="O12" s="2" t="s">
        <v>0</v>
      </c>
      <c r="P12" s="2">
        <v>567850.02</v>
      </c>
      <c r="Q12" s="13">
        <v>14196250.5</v>
      </c>
      <c r="R12" t="s">
        <v>757</v>
      </c>
    </row>
    <row r="13" spans="1:18" x14ac:dyDescent="0.3">
      <c r="A13" s="2" t="s">
        <v>97</v>
      </c>
      <c r="B13" s="15">
        <v>46254</v>
      </c>
      <c r="C13" t="s">
        <v>720</v>
      </c>
      <c r="D13" s="3" t="s">
        <v>702</v>
      </c>
      <c r="E13" s="2" t="s">
        <v>98</v>
      </c>
      <c r="F13" s="3">
        <v>46248.651041666657</v>
      </c>
      <c r="G13" s="3" t="s">
        <v>720</v>
      </c>
      <c r="H13" t="s">
        <v>759</v>
      </c>
      <c r="I13" t="s">
        <v>702</v>
      </c>
      <c r="J13" s="2" t="s">
        <v>8</v>
      </c>
      <c r="K13" s="2" t="s">
        <v>726</v>
      </c>
      <c r="L13" s="2" t="s">
        <v>79</v>
      </c>
      <c r="M13" s="2" t="s">
        <v>390</v>
      </c>
      <c r="N13" s="2">
        <v>29</v>
      </c>
      <c r="O13" s="2" t="s">
        <v>0</v>
      </c>
      <c r="P13" s="2">
        <v>168321.39</v>
      </c>
      <c r="Q13" s="13">
        <v>4881320.3100000005</v>
      </c>
      <c r="R13" t="s">
        <v>757</v>
      </c>
    </row>
    <row r="14" spans="1:18" x14ac:dyDescent="0.3">
      <c r="A14" s="2" t="s">
        <v>97</v>
      </c>
      <c r="B14" s="15">
        <v>46254</v>
      </c>
      <c r="C14" t="s">
        <v>720</v>
      </c>
      <c r="D14" s="3" t="s">
        <v>702</v>
      </c>
      <c r="E14" s="2" t="s">
        <v>98</v>
      </c>
      <c r="F14" s="3">
        <v>46248.651041666657</v>
      </c>
      <c r="G14" s="3" t="s">
        <v>720</v>
      </c>
      <c r="H14" t="s">
        <v>759</v>
      </c>
      <c r="I14" t="s">
        <v>702</v>
      </c>
      <c r="J14" s="2" t="s">
        <v>8</v>
      </c>
      <c r="K14" s="2" t="s">
        <v>726</v>
      </c>
      <c r="L14" s="2" t="s">
        <v>79</v>
      </c>
      <c r="M14" s="2" t="s">
        <v>391</v>
      </c>
      <c r="N14" s="2">
        <v>1</v>
      </c>
      <c r="O14" s="2" t="s">
        <v>0</v>
      </c>
      <c r="P14" s="2">
        <v>972008.18</v>
      </c>
      <c r="Q14" s="13">
        <v>972008.18</v>
      </c>
      <c r="R14" t="s">
        <v>757</v>
      </c>
    </row>
    <row r="15" spans="1:18" x14ac:dyDescent="0.3">
      <c r="A15" s="2" t="s">
        <v>99</v>
      </c>
      <c r="B15" s="15">
        <v>46254</v>
      </c>
      <c r="C15" t="s">
        <v>720</v>
      </c>
      <c r="D15" s="3" t="s">
        <v>702</v>
      </c>
      <c r="E15" s="2" t="s">
        <v>100</v>
      </c>
      <c r="F15" s="3">
        <v>46209.642685185187</v>
      </c>
      <c r="G15" s="3" t="s">
        <v>719</v>
      </c>
      <c r="H15" t="s">
        <v>759</v>
      </c>
      <c r="I15" t="s">
        <v>702</v>
      </c>
      <c r="J15" s="2" t="s">
        <v>8</v>
      </c>
      <c r="K15" s="2" t="s">
        <v>726</v>
      </c>
      <c r="L15" s="2" t="s">
        <v>79</v>
      </c>
      <c r="M15" s="2" t="s">
        <v>392</v>
      </c>
      <c r="N15" s="2">
        <v>4</v>
      </c>
      <c r="O15" s="2" t="s">
        <v>0</v>
      </c>
      <c r="P15" s="2">
        <v>261177.52</v>
      </c>
      <c r="Q15" s="13">
        <v>1044710.08</v>
      </c>
      <c r="R15" t="s">
        <v>757</v>
      </c>
    </row>
    <row r="16" spans="1:18" x14ac:dyDescent="0.3">
      <c r="A16" s="2" t="s">
        <v>101</v>
      </c>
      <c r="B16" s="15">
        <v>46252</v>
      </c>
      <c r="C16" t="s">
        <v>720</v>
      </c>
      <c r="D16" s="3" t="s">
        <v>702</v>
      </c>
      <c r="E16" s="2" t="s">
        <v>102</v>
      </c>
      <c r="F16" s="3">
        <v>46240.648379629631</v>
      </c>
      <c r="G16" s="3" t="s">
        <v>720</v>
      </c>
      <c r="H16" t="s">
        <v>759</v>
      </c>
      <c r="I16" t="s">
        <v>702</v>
      </c>
      <c r="J16" s="2" t="s">
        <v>8</v>
      </c>
      <c r="K16" s="2" t="s">
        <v>726</v>
      </c>
      <c r="L16" s="2" t="s">
        <v>79</v>
      </c>
      <c r="M16" s="2" t="s">
        <v>393</v>
      </c>
      <c r="N16" s="2">
        <v>2</v>
      </c>
      <c r="O16" s="2" t="s">
        <v>0</v>
      </c>
      <c r="P16" s="2">
        <v>693885.3</v>
      </c>
      <c r="Q16" s="13">
        <v>1387770.6</v>
      </c>
      <c r="R16" t="s">
        <v>757</v>
      </c>
    </row>
    <row r="17" spans="1:18" x14ac:dyDescent="0.3">
      <c r="A17" s="2" t="s">
        <v>103</v>
      </c>
      <c r="B17" s="15">
        <v>46252</v>
      </c>
      <c r="C17" t="s">
        <v>720</v>
      </c>
      <c r="D17" s="3" t="s">
        <v>702</v>
      </c>
      <c r="E17" s="2" t="s">
        <v>104</v>
      </c>
      <c r="F17" s="3">
        <v>46227.398518518523</v>
      </c>
      <c r="G17" s="3" t="s">
        <v>719</v>
      </c>
      <c r="H17" t="s">
        <v>759</v>
      </c>
      <c r="I17" t="s">
        <v>702</v>
      </c>
      <c r="J17" s="2" t="s">
        <v>8</v>
      </c>
      <c r="K17" s="2" t="s">
        <v>726</v>
      </c>
      <c r="L17" s="2" t="s">
        <v>79</v>
      </c>
      <c r="M17" s="2" t="s">
        <v>394</v>
      </c>
      <c r="N17" s="2">
        <v>6</v>
      </c>
      <c r="O17" s="2" t="s">
        <v>0</v>
      </c>
      <c r="P17" s="2">
        <v>35594.120000000003</v>
      </c>
      <c r="Q17" s="13">
        <v>213564.72000000003</v>
      </c>
      <c r="R17" t="s">
        <v>757</v>
      </c>
    </row>
    <row r="18" spans="1:18" x14ac:dyDescent="0.3">
      <c r="A18" s="2" t="s">
        <v>105</v>
      </c>
      <c r="B18" s="15">
        <v>46252</v>
      </c>
      <c r="C18" t="s">
        <v>720</v>
      </c>
      <c r="D18" s="3" t="s">
        <v>702</v>
      </c>
      <c r="E18" s="2" t="s">
        <v>106</v>
      </c>
      <c r="F18" s="3">
        <v>46196.441377314812</v>
      </c>
      <c r="G18" s="3" t="s">
        <v>718</v>
      </c>
      <c r="H18" t="s">
        <v>759</v>
      </c>
      <c r="I18" t="s">
        <v>701</v>
      </c>
      <c r="J18" s="2" t="s">
        <v>1</v>
      </c>
      <c r="K18" s="2" t="s">
        <v>745</v>
      </c>
      <c r="L18" s="2" t="s">
        <v>89</v>
      </c>
      <c r="M18" s="2" t="s">
        <v>395</v>
      </c>
      <c r="N18" s="2">
        <v>10</v>
      </c>
      <c r="O18" s="2" t="s">
        <v>0</v>
      </c>
      <c r="P18" s="2">
        <v>3909.41</v>
      </c>
      <c r="Q18" s="13">
        <v>39094.1</v>
      </c>
      <c r="R18" t="s">
        <v>757</v>
      </c>
    </row>
    <row r="19" spans="1:18" x14ac:dyDescent="0.3">
      <c r="A19" s="2" t="s">
        <v>107</v>
      </c>
      <c r="B19" s="15">
        <v>46252</v>
      </c>
      <c r="C19" t="s">
        <v>720</v>
      </c>
      <c r="D19" s="3" t="s">
        <v>702</v>
      </c>
      <c r="E19" s="2"/>
      <c r="F19" s="2"/>
      <c r="G19" s="3" t="s">
        <v>690</v>
      </c>
      <c r="H19" t="s">
        <v>759</v>
      </c>
      <c r="I19" t="s">
        <v>699</v>
      </c>
      <c r="J19" s="2" t="s">
        <v>1</v>
      </c>
      <c r="K19" s="2" t="s">
        <v>1</v>
      </c>
      <c r="L19" s="2" t="s">
        <v>86</v>
      </c>
      <c r="M19" s="2" t="s">
        <v>396</v>
      </c>
      <c r="N19" s="2">
        <v>1</v>
      </c>
      <c r="O19" s="2" t="s">
        <v>0</v>
      </c>
      <c r="P19" s="2">
        <v>1243100</v>
      </c>
      <c r="Q19" s="13">
        <v>1243100</v>
      </c>
      <c r="R19" t="s">
        <v>757</v>
      </c>
    </row>
    <row r="20" spans="1:18" x14ac:dyDescent="0.3">
      <c r="A20" s="2" t="s">
        <v>108</v>
      </c>
      <c r="B20" s="15">
        <v>46248</v>
      </c>
      <c r="C20" t="s">
        <v>720</v>
      </c>
      <c r="D20" s="3" t="s">
        <v>702</v>
      </c>
      <c r="E20" s="2" t="s">
        <v>109</v>
      </c>
      <c r="F20" s="3">
        <v>46190.653761574067</v>
      </c>
      <c r="G20" s="3" t="s">
        <v>718</v>
      </c>
      <c r="H20" t="s">
        <v>759</v>
      </c>
      <c r="I20" t="s">
        <v>701</v>
      </c>
      <c r="J20" s="2" t="s">
        <v>8</v>
      </c>
      <c r="K20" s="2" t="s">
        <v>726</v>
      </c>
      <c r="L20" s="2" t="s">
        <v>79</v>
      </c>
      <c r="M20" s="2" t="s">
        <v>397</v>
      </c>
      <c r="N20" s="2">
        <v>9</v>
      </c>
      <c r="O20" s="2" t="s">
        <v>0</v>
      </c>
      <c r="P20" s="2">
        <v>192793.56</v>
      </c>
      <c r="Q20" s="13">
        <v>1735142.04</v>
      </c>
      <c r="R20" t="s">
        <v>757</v>
      </c>
    </row>
    <row r="21" spans="1:18" x14ac:dyDescent="0.3">
      <c r="A21" s="2" t="s">
        <v>110</v>
      </c>
      <c r="B21" s="15">
        <v>46248</v>
      </c>
      <c r="C21" t="s">
        <v>720</v>
      </c>
      <c r="D21" s="3" t="s">
        <v>702</v>
      </c>
      <c r="E21" s="2" t="s">
        <v>111</v>
      </c>
      <c r="F21" s="3">
        <v>46212.504710648151</v>
      </c>
      <c r="G21" s="3" t="s">
        <v>719</v>
      </c>
      <c r="H21" t="s">
        <v>759</v>
      </c>
      <c r="I21" t="s">
        <v>702</v>
      </c>
      <c r="J21" s="2" t="s">
        <v>8</v>
      </c>
      <c r="K21" s="2" t="s">
        <v>726</v>
      </c>
      <c r="L21" s="2" t="s">
        <v>79</v>
      </c>
      <c r="M21" s="2" t="s">
        <v>397</v>
      </c>
      <c r="N21" s="2">
        <v>5</v>
      </c>
      <c r="O21" s="2" t="s">
        <v>0</v>
      </c>
      <c r="P21" s="2">
        <v>193891.43</v>
      </c>
      <c r="Q21" s="13">
        <v>969457.14999999991</v>
      </c>
      <c r="R21" t="s">
        <v>757</v>
      </c>
    </row>
    <row r="22" spans="1:18" x14ac:dyDescent="0.3">
      <c r="A22" s="2" t="s">
        <v>112</v>
      </c>
      <c r="B22" s="15">
        <v>46245</v>
      </c>
      <c r="C22" t="s">
        <v>720</v>
      </c>
      <c r="D22" s="3" t="s">
        <v>702</v>
      </c>
      <c r="E22" s="2" t="s">
        <v>12</v>
      </c>
      <c r="F22" s="3">
        <v>46169.65284722222</v>
      </c>
      <c r="G22" s="3" t="s">
        <v>717</v>
      </c>
      <c r="H22" t="s">
        <v>759</v>
      </c>
      <c r="I22" t="s">
        <v>701</v>
      </c>
      <c r="J22" s="2" t="s">
        <v>1</v>
      </c>
      <c r="K22" s="2" t="s">
        <v>1</v>
      </c>
      <c r="L22" s="2" t="s">
        <v>78</v>
      </c>
      <c r="M22" s="2" t="s">
        <v>398</v>
      </c>
      <c r="N22" s="2">
        <v>10</v>
      </c>
      <c r="O22" s="2" t="s">
        <v>0</v>
      </c>
      <c r="P22" s="2">
        <v>81730</v>
      </c>
      <c r="Q22" s="13">
        <v>817300</v>
      </c>
      <c r="R22" t="s">
        <v>757</v>
      </c>
    </row>
    <row r="23" spans="1:18" x14ac:dyDescent="0.3">
      <c r="A23" s="2" t="s">
        <v>112</v>
      </c>
      <c r="B23" s="15">
        <v>46245</v>
      </c>
      <c r="C23" t="s">
        <v>720</v>
      </c>
      <c r="D23" s="3" t="s">
        <v>702</v>
      </c>
      <c r="E23" s="2" t="s">
        <v>12</v>
      </c>
      <c r="F23" s="2"/>
      <c r="G23" s="3" t="s">
        <v>690</v>
      </c>
      <c r="H23" t="s">
        <v>759</v>
      </c>
      <c r="I23" t="s">
        <v>699</v>
      </c>
      <c r="J23" s="2" t="s">
        <v>1</v>
      </c>
      <c r="K23" s="2" t="s">
        <v>1</v>
      </c>
      <c r="L23" s="2" t="s">
        <v>78</v>
      </c>
      <c r="M23" s="2" t="s">
        <v>399</v>
      </c>
      <c r="N23" s="2">
        <v>16</v>
      </c>
      <c r="O23" s="2" t="s">
        <v>0</v>
      </c>
      <c r="P23" s="2">
        <v>250579.99</v>
      </c>
      <c r="Q23" s="13">
        <v>4009279.84</v>
      </c>
      <c r="R23" t="s">
        <v>757</v>
      </c>
    </row>
    <row r="24" spans="1:18" x14ac:dyDescent="0.3">
      <c r="A24" s="2" t="s">
        <v>113</v>
      </c>
      <c r="B24" s="15">
        <v>46245</v>
      </c>
      <c r="C24" t="s">
        <v>720</v>
      </c>
      <c r="D24" s="3" t="s">
        <v>702</v>
      </c>
      <c r="E24" s="2" t="s">
        <v>109</v>
      </c>
      <c r="F24" s="3">
        <v>46190.653761574067</v>
      </c>
      <c r="G24" s="3" t="s">
        <v>718</v>
      </c>
      <c r="H24" t="s">
        <v>759</v>
      </c>
      <c r="I24" t="s">
        <v>701</v>
      </c>
      <c r="J24" s="2" t="s">
        <v>8</v>
      </c>
      <c r="K24" s="2" t="s">
        <v>726</v>
      </c>
      <c r="L24" s="2" t="s">
        <v>79</v>
      </c>
      <c r="M24" s="2" t="s">
        <v>397</v>
      </c>
      <c r="N24" s="2">
        <v>4</v>
      </c>
      <c r="O24" s="2" t="s">
        <v>0</v>
      </c>
      <c r="P24" s="2">
        <v>194906.09</v>
      </c>
      <c r="Q24" s="13">
        <v>779624.36</v>
      </c>
      <c r="R24" t="s">
        <v>757</v>
      </c>
    </row>
    <row r="25" spans="1:18" x14ac:dyDescent="0.3">
      <c r="A25" s="2" t="s">
        <v>114</v>
      </c>
      <c r="B25" s="15">
        <v>46239</v>
      </c>
      <c r="C25" t="s">
        <v>720</v>
      </c>
      <c r="D25" s="3" t="s">
        <v>702</v>
      </c>
      <c r="E25" s="2" t="s">
        <v>115</v>
      </c>
      <c r="F25" s="3">
        <v>46225.430358796293</v>
      </c>
      <c r="G25" s="3" t="s">
        <v>719</v>
      </c>
      <c r="H25" t="s">
        <v>759</v>
      </c>
      <c r="I25" t="s">
        <v>702</v>
      </c>
      <c r="J25" s="2" t="s">
        <v>1</v>
      </c>
      <c r="K25" s="2" t="s">
        <v>1</v>
      </c>
      <c r="L25" s="2" t="s">
        <v>80</v>
      </c>
      <c r="M25" s="2" t="s">
        <v>400</v>
      </c>
      <c r="N25" s="2">
        <v>60</v>
      </c>
      <c r="O25" s="2" t="s">
        <v>0</v>
      </c>
      <c r="P25" s="2">
        <v>2400</v>
      </c>
      <c r="Q25" s="13">
        <v>144000</v>
      </c>
      <c r="R25" t="s">
        <v>757</v>
      </c>
    </row>
    <row r="26" spans="1:18" x14ac:dyDescent="0.3">
      <c r="A26" s="2" t="s">
        <v>116</v>
      </c>
      <c r="B26" s="15">
        <v>46234</v>
      </c>
      <c r="C26" t="s">
        <v>719</v>
      </c>
      <c r="D26" s="3" t="s">
        <v>702</v>
      </c>
      <c r="E26" s="2" t="s">
        <v>117</v>
      </c>
      <c r="F26" s="3">
        <v>46230.707546296297</v>
      </c>
      <c r="G26" s="3" t="s">
        <v>719</v>
      </c>
      <c r="H26" t="s">
        <v>759</v>
      </c>
      <c r="I26" t="s">
        <v>702</v>
      </c>
      <c r="J26" s="2" t="s">
        <v>1</v>
      </c>
      <c r="K26" s="2" t="s">
        <v>1</v>
      </c>
      <c r="L26" s="2" t="s">
        <v>604</v>
      </c>
      <c r="M26" s="2" t="s">
        <v>401</v>
      </c>
      <c r="N26" s="2">
        <v>6</v>
      </c>
      <c r="O26" s="2" t="s">
        <v>0</v>
      </c>
      <c r="P26" s="2">
        <v>77347.48</v>
      </c>
      <c r="Q26" s="13">
        <v>464084.88</v>
      </c>
      <c r="R26" t="s">
        <v>757</v>
      </c>
    </row>
    <row r="27" spans="1:18" x14ac:dyDescent="0.3">
      <c r="A27" s="2" t="s">
        <v>118</v>
      </c>
      <c r="B27" s="15">
        <v>46234</v>
      </c>
      <c r="C27" t="s">
        <v>719</v>
      </c>
      <c r="D27" s="3" t="s">
        <v>702</v>
      </c>
      <c r="E27" s="2" t="s">
        <v>104</v>
      </c>
      <c r="F27" s="3">
        <v>46227.398518518523</v>
      </c>
      <c r="G27" s="3" t="s">
        <v>719</v>
      </c>
      <c r="H27" t="s">
        <v>759</v>
      </c>
      <c r="I27" t="s">
        <v>702</v>
      </c>
      <c r="J27" s="2" t="s">
        <v>8</v>
      </c>
      <c r="K27" s="2" t="s">
        <v>726</v>
      </c>
      <c r="L27" s="2" t="s">
        <v>79</v>
      </c>
      <c r="M27" s="2" t="s">
        <v>393</v>
      </c>
      <c r="N27" s="2">
        <v>2</v>
      </c>
      <c r="O27" s="2" t="s">
        <v>0</v>
      </c>
      <c r="P27" s="2">
        <v>713733.62</v>
      </c>
      <c r="Q27" s="13">
        <v>1427467.24</v>
      </c>
      <c r="R27" t="s">
        <v>757</v>
      </c>
    </row>
    <row r="28" spans="1:18" x14ac:dyDescent="0.3">
      <c r="A28" s="2" t="s">
        <v>119</v>
      </c>
      <c r="B28" s="15">
        <v>46234</v>
      </c>
      <c r="C28" t="s">
        <v>719</v>
      </c>
      <c r="D28" s="3" t="s">
        <v>702</v>
      </c>
      <c r="E28" s="2" t="s">
        <v>109</v>
      </c>
      <c r="F28" s="3">
        <v>46190.653761574067</v>
      </c>
      <c r="G28" s="3" t="s">
        <v>718</v>
      </c>
      <c r="H28" t="s">
        <v>759</v>
      </c>
      <c r="I28" t="s">
        <v>701</v>
      </c>
      <c r="J28" s="2" t="s">
        <v>8</v>
      </c>
      <c r="K28" s="2" t="s">
        <v>726</v>
      </c>
      <c r="L28" s="2" t="s">
        <v>90</v>
      </c>
      <c r="M28" s="2" t="s">
        <v>402</v>
      </c>
      <c r="N28" s="2">
        <v>400</v>
      </c>
      <c r="O28" s="2" t="s">
        <v>0</v>
      </c>
      <c r="P28" s="2">
        <v>15876.29</v>
      </c>
      <c r="Q28" s="13">
        <v>6350516</v>
      </c>
      <c r="R28" t="s">
        <v>757</v>
      </c>
    </row>
    <row r="29" spans="1:18" x14ac:dyDescent="0.3">
      <c r="A29" s="2" t="s">
        <v>120</v>
      </c>
      <c r="B29" s="15">
        <v>46234</v>
      </c>
      <c r="C29" t="s">
        <v>719</v>
      </c>
      <c r="D29" s="3" t="s">
        <v>702</v>
      </c>
      <c r="E29" s="2" t="s">
        <v>121</v>
      </c>
      <c r="F29" s="3">
        <v>46191.393877314818</v>
      </c>
      <c r="G29" s="3" t="s">
        <v>718</v>
      </c>
      <c r="H29" t="s">
        <v>759</v>
      </c>
      <c r="I29" t="s">
        <v>701</v>
      </c>
      <c r="J29" s="2" t="s">
        <v>1</v>
      </c>
      <c r="K29" s="2" t="s">
        <v>745</v>
      </c>
      <c r="L29" s="2" t="s">
        <v>89</v>
      </c>
      <c r="M29" s="2" t="s">
        <v>403</v>
      </c>
      <c r="N29" s="2">
        <v>5</v>
      </c>
      <c r="O29" s="2" t="s">
        <v>0</v>
      </c>
      <c r="P29" s="2">
        <v>11670.59</v>
      </c>
      <c r="Q29" s="13">
        <v>58352.95</v>
      </c>
      <c r="R29" t="s">
        <v>757</v>
      </c>
    </row>
    <row r="30" spans="1:18" x14ac:dyDescent="0.3">
      <c r="A30" s="2" t="s">
        <v>122</v>
      </c>
      <c r="B30" s="15">
        <v>46234</v>
      </c>
      <c r="C30" t="s">
        <v>719</v>
      </c>
      <c r="D30" s="3" t="s">
        <v>702</v>
      </c>
      <c r="E30" s="2" t="s">
        <v>123</v>
      </c>
      <c r="F30" s="3">
        <v>46184.710844907408</v>
      </c>
      <c r="G30" s="3" t="s">
        <v>718</v>
      </c>
      <c r="H30" t="s">
        <v>759</v>
      </c>
      <c r="I30" t="s">
        <v>701</v>
      </c>
      <c r="J30" s="2" t="s">
        <v>8</v>
      </c>
      <c r="K30" s="2" t="s">
        <v>726</v>
      </c>
      <c r="L30" s="2" t="s">
        <v>90</v>
      </c>
      <c r="M30" s="2" t="s">
        <v>404</v>
      </c>
      <c r="N30" s="2">
        <v>124</v>
      </c>
      <c r="O30" s="2" t="s">
        <v>0</v>
      </c>
      <c r="P30" s="2">
        <v>17890.150000000001</v>
      </c>
      <c r="Q30" s="13">
        <v>2218378.6</v>
      </c>
      <c r="R30" t="s">
        <v>757</v>
      </c>
    </row>
    <row r="31" spans="1:18" x14ac:dyDescent="0.3">
      <c r="A31" s="2" t="s">
        <v>124</v>
      </c>
      <c r="B31" s="15">
        <v>46234</v>
      </c>
      <c r="C31" t="s">
        <v>719</v>
      </c>
      <c r="D31" s="3" t="s">
        <v>702</v>
      </c>
      <c r="E31" s="2" t="s">
        <v>27</v>
      </c>
      <c r="F31" s="3">
        <v>46129.363113425927</v>
      </c>
      <c r="G31" s="3" t="s">
        <v>716</v>
      </c>
      <c r="H31" t="s">
        <v>759</v>
      </c>
      <c r="I31" t="s">
        <v>701</v>
      </c>
      <c r="J31" s="2" t="s">
        <v>1</v>
      </c>
      <c r="K31" s="2" t="s">
        <v>1</v>
      </c>
      <c r="L31" s="2" t="s">
        <v>79</v>
      </c>
      <c r="M31" s="2" t="s">
        <v>405</v>
      </c>
      <c r="N31" s="2">
        <v>120</v>
      </c>
      <c r="O31" s="2" t="s">
        <v>0</v>
      </c>
      <c r="P31" s="2">
        <v>34320</v>
      </c>
      <c r="Q31" s="13">
        <v>4118400</v>
      </c>
      <c r="R31" t="s">
        <v>757</v>
      </c>
    </row>
    <row r="32" spans="1:18" x14ac:dyDescent="0.3">
      <c r="A32" s="2" t="s">
        <v>125</v>
      </c>
      <c r="B32" s="15">
        <v>46234</v>
      </c>
      <c r="C32" t="s">
        <v>719</v>
      </c>
      <c r="D32" s="3" t="s">
        <v>702</v>
      </c>
      <c r="E32" s="2" t="s">
        <v>28</v>
      </c>
      <c r="F32" s="3">
        <v>46126.40351851852</v>
      </c>
      <c r="G32" s="3" t="s">
        <v>716</v>
      </c>
      <c r="H32" t="s">
        <v>759</v>
      </c>
      <c r="I32" t="s">
        <v>701</v>
      </c>
      <c r="J32" s="2" t="s">
        <v>8</v>
      </c>
      <c r="K32" s="2" t="s">
        <v>726</v>
      </c>
      <c r="L32" s="2" t="s">
        <v>84</v>
      </c>
      <c r="M32" s="2" t="s">
        <v>406</v>
      </c>
      <c r="N32" s="2">
        <v>125</v>
      </c>
      <c r="O32" s="2" t="s">
        <v>0</v>
      </c>
      <c r="P32" s="2">
        <v>62232.04</v>
      </c>
      <c r="Q32" s="13">
        <v>7779005</v>
      </c>
      <c r="R32" t="s">
        <v>757</v>
      </c>
    </row>
    <row r="33" spans="1:18" x14ac:dyDescent="0.3">
      <c r="A33" s="2" t="s">
        <v>126</v>
      </c>
      <c r="B33" s="15">
        <v>46220</v>
      </c>
      <c r="C33" t="s">
        <v>719</v>
      </c>
      <c r="D33" s="3" t="s">
        <v>702</v>
      </c>
      <c r="E33" s="2" t="s">
        <v>127</v>
      </c>
      <c r="F33" s="3">
        <v>46217.3671875</v>
      </c>
      <c r="G33" s="3" t="s">
        <v>719</v>
      </c>
      <c r="H33" t="s">
        <v>759</v>
      </c>
      <c r="I33" t="s">
        <v>702</v>
      </c>
      <c r="J33" s="2" t="s">
        <v>8</v>
      </c>
      <c r="K33" s="2" t="s">
        <v>726</v>
      </c>
      <c r="L33" s="2" t="s">
        <v>7</v>
      </c>
      <c r="M33" s="2" t="s">
        <v>407</v>
      </c>
      <c r="N33" s="2">
        <v>1</v>
      </c>
      <c r="O33" s="2" t="s">
        <v>0</v>
      </c>
      <c r="P33" s="2">
        <v>2575984.0299999998</v>
      </c>
      <c r="Q33" s="13">
        <v>2575984.0299999998</v>
      </c>
      <c r="R33" t="s">
        <v>757</v>
      </c>
    </row>
    <row r="34" spans="1:18" x14ac:dyDescent="0.3">
      <c r="A34" s="2" t="s">
        <v>126</v>
      </c>
      <c r="B34" s="15">
        <v>46220</v>
      </c>
      <c r="C34" t="s">
        <v>719</v>
      </c>
      <c r="D34" s="3" t="s">
        <v>702</v>
      </c>
      <c r="E34" s="2" t="s">
        <v>127</v>
      </c>
      <c r="F34" s="3">
        <v>46217.3671875</v>
      </c>
      <c r="G34" s="3" t="s">
        <v>719</v>
      </c>
      <c r="H34" t="s">
        <v>759</v>
      </c>
      <c r="I34" t="s">
        <v>702</v>
      </c>
      <c r="J34" s="2" t="s">
        <v>8</v>
      </c>
      <c r="K34" s="2" t="s">
        <v>726</v>
      </c>
      <c r="L34" s="2" t="s">
        <v>82</v>
      </c>
      <c r="M34" s="2" t="s">
        <v>408</v>
      </c>
      <c r="N34" s="2">
        <v>1</v>
      </c>
      <c r="O34" s="2" t="s">
        <v>0</v>
      </c>
      <c r="P34" s="2">
        <v>272768.90999999997</v>
      </c>
      <c r="Q34" s="13">
        <v>272768.90999999997</v>
      </c>
      <c r="R34" t="s">
        <v>757</v>
      </c>
    </row>
    <row r="35" spans="1:18" x14ac:dyDescent="0.3">
      <c r="A35" s="2" t="s">
        <v>126</v>
      </c>
      <c r="B35" s="15">
        <v>46220</v>
      </c>
      <c r="C35" t="s">
        <v>719</v>
      </c>
      <c r="D35" s="3" t="s">
        <v>702</v>
      </c>
      <c r="E35" s="2" t="s">
        <v>127</v>
      </c>
      <c r="F35" s="3">
        <v>46217.3671875</v>
      </c>
      <c r="G35" s="3" t="s">
        <v>719</v>
      </c>
      <c r="H35" t="s">
        <v>759</v>
      </c>
      <c r="I35" t="s">
        <v>702</v>
      </c>
      <c r="J35" s="2" t="s">
        <v>8</v>
      </c>
      <c r="K35" s="2" t="s">
        <v>726</v>
      </c>
      <c r="L35" s="2" t="s">
        <v>79</v>
      </c>
      <c r="M35" s="2" t="s">
        <v>388</v>
      </c>
      <c r="N35" s="2">
        <v>1</v>
      </c>
      <c r="O35" s="2" t="s">
        <v>0</v>
      </c>
      <c r="P35" s="2">
        <v>253201.68</v>
      </c>
      <c r="Q35" s="13">
        <v>253201.68</v>
      </c>
      <c r="R35" t="s">
        <v>757</v>
      </c>
    </row>
    <row r="36" spans="1:18" x14ac:dyDescent="0.3">
      <c r="A36" s="2" t="s">
        <v>128</v>
      </c>
      <c r="B36" s="15">
        <v>46220</v>
      </c>
      <c r="C36" t="s">
        <v>719</v>
      </c>
      <c r="D36" s="3" t="s">
        <v>702</v>
      </c>
      <c r="E36" s="2" t="s">
        <v>129</v>
      </c>
      <c r="F36" s="3">
        <v>46213.477152777778</v>
      </c>
      <c r="G36" s="3" t="s">
        <v>719</v>
      </c>
      <c r="H36" t="s">
        <v>759</v>
      </c>
      <c r="I36" t="s">
        <v>702</v>
      </c>
      <c r="J36" s="2" t="s">
        <v>8</v>
      </c>
      <c r="K36" s="2" t="s">
        <v>726</v>
      </c>
      <c r="L36" s="2" t="s">
        <v>79</v>
      </c>
      <c r="M36" s="2" t="s">
        <v>409</v>
      </c>
      <c r="N36" s="2">
        <v>40</v>
      </c>
      <c r="O36" s="2" t="s">
        <v>0</v>
      </c>
      <c r="P36" s="2">
        <v>155945.76</v>
      </c>
      <c r="Q36" s="13">
        <v>6237830.4000000004</v>
      </c>
      <c r="R36" t="s">
        <v>757</v>
      </c>
    </row>
    <row r="37" spans="1:18" x14ac:dyDescent="0.3">
      <c r="A37" s="2" t="s">
        <v>130</v>
      </c>
      <c r="B37" s="15">
        <v>46220</v>
      </c>
      <c r="C37" t="s">
        <v>719</v>
      </c>
      <c r="D37" s="3" t="s">
        <v>702</v>
      </c>
      <c r="E37" s="2" t="s">
        <v>100</v>
      </c>
      <c r="F37" s="3">
        <v>46209.642685185187</v>
      </c>
      <c r="G37" s="3" t="s">
        <v>719</v>
      </c>
      <c r="H37" t="s">
        <v>759</v>
      </c>
      <c r="I37" t="s">
        <v>702</v>
      </c>
      <c r="J37" s="2" t="s">
        <v>8</v>
      </c>
      <c r="K37" s="2" t="s">
        <v>726</v>
      </c>
      <c r="L37" s="2" t="s">
        <v>79</v>
      </c>
      <c r="M37" s="2" t="s">
        <v>410</v>
      </c>
      <c r="N37" s="2">
        <v>1</v>
      </c>
      <c r="O37" s="2" t="s">
        <v>0</v>
      </c>
      <c r="P37" s="2">
        <v>413737.82</v>
      </c>
      <c r="Q37" s="13">
        <v>413737.82</v>
      </c>
      <c r="R37" t="s">
        <v>757</v>
      </c>
    </row>
    <row r="38" spans="1:18" x14ac:dyDescent="0.3">
      <c r="A38" s="2" t="s">
        <v>130</v>
      </c>
      <c r="B38" s="15">
        <v>46220</v>
      </c>
      <c r="C38" t="s">
        <v>719</v>
      </c>
      <c r="D38" s="3" t="s">
        <v>702</v>
      </c>
      <c r="E38" s="2" t="s">
        <v>100</v>
      </c>
      <c r="F38" s="3">
        <v>46209.642685185187</v>
      </c>
      <c r="G38" s="3" t="s">
        <v>719</v>
      </c>
      <c r="H38" t="s">
        <v>759</v>
      </c>
      <c r="I38" t="s">
        <v>702</v>
      </c>
      <c r="J38" s="2" t="s">
        <v>8</v>
      </c>
      <c r="K38" s="2" t="s">
        <v>726</v>
      </c>
      <c r="L38" s="2" t="s">
        <v>79</v>
      </c>
      <c r="M38" s="2" t="s">
        <v>388</v>
      </c>
      <c r="N38" s="2">
        <v>6</v>
      </c>
      <c r="O38" s="2" t="s">
        <v>0</v>
      </c>
      <c r="P38" s="2">
        <v>227162.33</v>
      </c>
      <c r="Q38" s="13">
        <v>1362973.98</v>
      </c>
      <c r="R38" t="s">
        <v>757</v>
      </c>
    </row>
    <row r="39" spans="1:18" x14ac:dyDescent="0.3">
      <c r="A39" s="2" t="s">
        <v>131</v>
      </c>
      <c r="B39" s="15">
        <v>46220</v>
      </c>
      <c r="C39" t="s">
        <v>719</v>
      </c>
      <c r="D39" s="3" t="s">
        <v>702</v>
      </c>
      <c r="E39" s="2" t="s">
        <v>123</v>
      </c>
      <c r="F39" s="3">
        <v>46184.710844907408</v>
      </c>
      <c r="G39" s="3" t="s">
        <v>718</v>
      </c>
      <c r="H39" t="s">
        <v>759</v>
      </c>
      <c r="I39" t="s">
        <v>701</v>
      </c>
      <c r="J39" s="2" t="s">
        <v>8</v>
      </c>
      <c r="K39" s="2" t="s">
        <v>726</v>
      </c>
      <c r="L39" s="2" t="s">
        <v>83</v>
      </c>
      <c r="M39" s="2" t="s">
        <v>411</v>
      </c>
      <c r="N39" s="2">
        <v>28</v>
      </c>
      <c r="O39" s="2" t="s">
        <v>0</v>
      </c>
      <c r="P39" s="2">
        <v>108522.6</v>
      </c>
      <c r="Q39" s="13">
        <v>3038632.8000000003</v>
      </c>
      <c r="R39" t="s">
        <v>757</v>
      </c>
    </row>
    <row r="40" spans="1:18" x14ac:dyDescent="0.3">
      <c r="A40" s="2" t="s">
        <v>132</v>
      </c>
      <c r="B40" s="15">
        <v>46217</v>
      </c>
      <c r="C40" t="s">
        <v>719</v>
      </c>
      <c r="D40" s="3" t="s">
        <v>702</v>
      </c>
      <c r="E40" s="2"/>
      <c r="F40" s="2"/>
      <c r="G40" s="3" t="s">
        <v>690</v>
      </c>
      <c r="H40" t="s">
        <v>759</v>
      </c>
      <c r="I40" t="s">
        <v>699</v>
      </c>
      <c r="J40" s="2" t="s">
        <v>2</v>
      </c>
      <c r="K40" s="2" t="s">
        <v>726</v>
      </c>
      <c r="L40" s="2" t="s">
        <v>80</v>
      </c>
      <c r="M40" s="2" t="s">
        <v>412</v>
      </c>
      <c r="N40" s="2">
        <v>82</v>
      </c>
      <c r="O40" s="2" t="s">
        <v>0</v>
      </c>
      <c r="P40" s="2">
        <v>1956754.9</v>
      </c>
      <c r="Q40" s="13">
        <v>160453901.79999998</v>
      </c>
      <c r="R40" t="s">
        <v>757</v>
      </c>
    </row>
    <row r="41" spans="1:18" x14ac:dyDescent="0.3">
      <c r="A41" s="2" t="s">
        <v>133</v>
      </c>
      <c r="B41" s="15">
        <v>46217</v>
      </c>
      <c r="C41" t="s">
        <v>719</v>
      </c>
      <c r="D41" s="3" t="s">
        <v>702</v>
      </c>
      <c r="E41" s="2"/>
      <c r="F41" s="2"/>
      <c r="G41" s="3" t="s">
        <v>690</v>
      </c>
      <c r="H41" t="s">
        <v>759</v>
      </c>
      <c r="I41" t="s">
        <v>699</v>
      </c>
      <c r="J41" s="2" t="s">
        <v>1</v>
      </c>
      <c r="K41" s="2" t="s">
        <v>1</v>
      </c>
      <c r="L41" s="2" t="s">
        <v>80</v>
      </c>
      <c r="M41" s="2" t="s">
        <v>413</v>
      </c>
      <c r="N41" s="2">
        <v>500</v>
      </c>
      <c r="O41" s="2" t="s">
        <v>0</v>
      </c>
      <c r="P41" s="2">
        <v>19125</v>
      </c>
      <c r="Q41" s="13">
        <v>9562500</v>
      </c>
      <c r="R41" t="s">
        <v>757</v>
      </c>
    </row>
    <row r="42" spans="1:18" x14ac:dyDescent="0.3">
      <c r="A42" s="2" t="s">
        <v>134</v>
      </c>
      <c r="B42" s="15">
        <v>46217</v>
      </c>
      <c r="C42" t="s">
        <v>719</v>
      </c>
      <c r="D42" s="3" t="s">
        <v>702</v>
      </c>
      <c r="E42" s="2"/>
      <c r="F42" s="2"/>
      <c r="G42" s="3" t="s">
        <v>690</v>
      </c>
      <c r="H42" t="s">
        <v>759</v>
      </c>
      <c r="I42" t="s">
        <v>699</v>
      </c>
      <c r="J42" s="2" t="s">
        <v>1</v>
      </c>
      <c r="K42" s="2" t="s">
        <v>1</v>
      </c>
      <c r="L42" s="2" t="s">
        <v>79</v>
      </c>
      <c r="M42" s="2" t="s">
        <v>414</v>
      </c>
      <c r="N42" s="2">
        <v>2</v>
      </c>
      <c r="O42" s="2" t="s">
        <v>0</v>
      </c>
      <c r="P42" s="2">
        <v>170500</v>
      </c>
      <c r="Q42" s="13">
        <v>341000</v>
      </c>
      <c r="R42" t="s">
        <v>757</v>
      </c>
    </row>
    <row r="43" spans="1:18" x14ac:dyDescent="0.3">
      <c r="A43" s="2" t="s">
        <v>135</v>
      </c>
      <c r="B43" s="15">
        <v>46211</v>
      </c>
      <c r="C43" t="s">
        <v>719</v>
      </c>
      <c r="D43" s="3" t="s">
        <v>702</v>
      </c>
      <c r="E43" s="2" t="s">
        <v>136</v>
      </c>
      <c r="F43" s="3">
        <v>46002.615428240737</v>
      </c>
      <c r="G43" s="3" t="s">
        <v>724</v>
      </c>
      <c r="H43" t="s">
        <v>760</v>
      </c>
      <c r="I43" t="s">
        <v>703</v>
      </c>
      <c r="J43" s="2" t="s">
        <v>8</v>
      </c>
      <c r="K43" s="2" t="s">
        <v>726</v>
      </c>
      <c r="L43" s="2" t="s">
        <v>84</v>
      </c>
      <c r="M43" s="2" t="s">
        <v>415</v>
      </c>
      <c r="N43" s="2">
        <v>25</v>
      </c>
      <c r="O43" s="2" t="s">
        <v>0</v>
      </c>
      <c r="P43" s="2">
        <v>24525.95</v>
      </c>
      <c r="Q43" s="13">
        <v>613148.75</v>
      </c>
      <c r="R43" t="s">
        <v>757</v>
      </c>
    </row>
    <row r="44" spans="1:18" x14ac:dyDescent="0.3">
      <c r="A44" s="2" t="s">
        <v>137</v>
      </c>
      <c r="B44" s="15">
        <v>46211</v>
      </c>
      <c r="C44" t="s">
        <v>719</v>
      </c>
      <c r="D44" s="3" t="s">
        <v>702</v>
      </c>
      <c r="E44" s="2" t="s">
        <v>51</v>
      </c>
      <c r="F44" s="3">
        <v>46077.401030092587</v>
      </c>
      <c r="G44" s="3" t="s">
        <v>691</v>
      </c>
      <c r="H44" t="s">
        <v>759</v>
      </c>
      <c r="I44" t="s">
        <v>699</v>
      </c>
      <c r="J44" s="2" t="s">
        <v>8</v>
      </c>
      <c r="K44" s="2" t="s">
        <v>726</v>
      </c>
      <c r="L44" s="2" t="s">
        <v>90</v>
      </c>
      <c r="M44" s="2" t="s">
        <v>416</v>
      </c>
      <c r="N44" s="2">
        <v>2</v>
      </c>
      <c r="O44" s="2" t="s">
        <v>0</v>
      </c>
      <c r="P44" s="2">
        <v>257523.11</v>
      </c>
      <c r="Q44" s="13">
        <v>515046.22</v>
      </c>
      <c r="R44" t="s">
        <v>757</v>
      </c>
    </row>
    <row r="45" spans="1:18" x14ac:dyDescent="0.3">
      <c r="A45" s="2" t="s">
        <v>138</v>
      </c>
      <c r="B45" s="15">
        <v>46211</v>
      </c>
      <c r="C45" t="s">
        <v>719</v>
      </c>
      <c r="D45" s="3" t="s">
        <v>702</v>
      </c>
      <c r="E45" s="2" t="s">
        <v>16</v>
      </c>
      <c r="F45" s="3">
        <v>46162.748171296298</v>
      </c>
      <c r="G45" s="3" t="s">
        <v>717</v>
      </c>
      <c r="H45" t="s">
        <v>759</v>
      </c>
      <c r="I45" t="s">
        <v>701</v>
      </c>
      <c r="J45" s="2" t="s">
        <v>2</v>
      </c>
      <c r="K45" s="2" t="s">
        <v>726</v>
      </c>
      <c r="L45" s="2" t="s">
        <v>80</v>
      </c>
      <c r="M45" s="2" t="s">
        <v>417</v>
      </c>
      <c r="N45" s="2">
        <v>5</v>
      </c>
      <c r="O45" s="2" t="s">
        <v>0</v>
      </c>
      <c r="P45" s="2">
        <v>1777500</v>
      </c>
      <c r="Q45" s="13">
        <v>8887500</v>
      </c>
      <c r="R45" t="s">
        <v>757</v>
      </c>
    </row>
    <row r="46" spans="1:18" x14ac:dyDescent="0.3">
      <c r="A46" s="2" t="s">
        <v>139</v>
      </c>
      <c r="B46" s="15">
        <v>46211</v>
      </c>
      <c r="C46" t="s">
        <v>719</v>
      </c>
      <c r="D46" s="3" t="s">
        <v>702</v>
      </c>
      <c r="E46" s="2" t="s">
        <v>140</v>
      </c>
      <c r="F46" s="3">
        <v>46171.654178240737</v>
      </c>
      <c r="G46" s="3" t="s">
        <v>717</v>
      </c>
      <c r="H46" t="s">
        <v>759</v>
      </c>
      <c r="I46" t="s">
        <v>701</v>
      </c>
      <c r="J46" s="2" t="s">
        <v>1</v>
      </c>
      <c r="K46" s="2" t="s">
        <v>1</v>
      </c>
      <c r="L46" s="2" t="s">
        <v>79</v>
      </c>
      <c r="M46" s="2" t="s">
        <v>418</v>
      </c>
      <c r="N46" s="2">
        <v>7</v>
      </c>
      <c r="O46" s="2" t="s">
        <v>0</v>
      </c>
      <c r="P46" s="2">
        <v>91560.02</v>
      </c>
      <c r="Q46" s="13">
        <v>640920.14</v>
      </c>
      <c r="R46" t="s">
        <v>757</v>
      </c>
    </row>
    <row r="47" spans="1:18" x14ac:dyDescent="0.3">
      <c r="A47" s="2" t="s">
        <v>141</v>
      </c>
      <c r="B47" s="15">
        <v>46211</v>
      </c>
      <c r="C47" t="s">
        <v>719</v>
      </c>
      <c r="D47" s="3" t="s">
        <v>702</v>
      </c>
      <c r="E47" s="2" t="s">
        <v>12</v>
      </c>
      <c r="F47" s="3">
        <v>46169.65284722222</v>
      </c>
      <c r="G47" s="3" t="s">
        <v>717</v>
      </c>
      <c r="H47" t="s">
        <v>759</v>
      </c>
      <c r="I47" t="s">
        <v>701</v>
      </c>
      <c r="J47" s="2" t="s">
        <v>1</v>
      </c>
      <c r="K47" s="2" t="s">
        <v>1</v>
      </c>
      <c r="L47" s="2" t="s">
        <v>79</v>
      </c>
      <c r="M47" s="2" t="s">
        <v>418</v>
      </c>
      <c r="N47" s="2">
        <v>8</v>
      </c>
      <c r="O47" s="2" t="s">
        <v>0</v>
      </c>
      <c r="P47" s="2">
        <v>119900</v>
      </c>
      <c r="Q47" s="13">
        <v>959200</v>
      </c>
      <c r="R47" t="s">
        <v>757</v>
      </c>
    </row>
    <row r="48" spans="1:18" x14ac:dyDescent="0.3">
      <c r="A48" s="2" t="s">
        <v>142</v>
      </c>
      <c r="B48" s="15">
        <v>46211</v>
      </c>
      <c r="C48" t="s">
        <v>719</v>
      </c>
      <c r="D48" s="3" t="s">
        <v>702</v>
      </c>
      <c r="E48" s="2" t="s">
        <v>22</v>
      </c>
      <c r="F48" s="3">
        <v>46170.666759259257</v>
      </c>
      <c r="G48" s="3" t="s">
        <v>717</v>
      </c>
      <c r="H48" t="s">
        <v>759</v>
      </c>
      <c r="I48" t="s">
        <v>701</v>
      </c>
      <c r="J48" s="2" t="s">
        <v>8</v>
      </c>
      <c r="K48" s="2" t="s">
        <v>726</v>
      </c>
      <c r="L48" s="2" t="s">
        <v>79</v>
      </c>
      <c r="M48" s="2" t="s">
        <v>410</v>
      </c>
      <c r="N48" s="2">
        <v>15</v>
      </c>
      <c r="O48" s="2" t="s">
        <v>0</v>
      </c>
      <c r="P48" s="2">
        <v>502518.99</v>
      </c>
      <c r="Q48" s="13">
        <v>7537784.8499999996</v>
      </c>
      <c r="R48" t="s">
        <v>757</v>
      </c>
    </row>
    <row r="49" spans="1:18" x14ac:dyDescent="0.3">
      <c r="A49" s="2" t="s">
        <v>142</v>
      </c>
      <c r="B49" s="15">
        <v>46211</v>
      </c>
      <c r="C49" t="s">
        <v>719</v>
      </c>
      <c r="D49" s="3" t="s">
        <v>702</v>
      </c>
      <c r="E49" s="2" t="s">
        <v>22</v>
      </c>
      <c r="F49" s="3">
        <v>46170.666759259257</v>
      </c>
      <c r="G49" s="3" t="s">
        <v>717</v>
      </c>
      <c r="H49" t="s">
        <v>759</v>
      </c>
      <c r="I49" t="s">
        <v>701</v>
      </c>
      <c r="J49" s="2" t="s">
        <v>8</v>
      </c>
      <c r="K49" s="2" t="s">
        <v>726</v>
      </c>
      <c r="L49" s="2" t="s">
        <v>79</v>
      </c>
      <c r="M49" s="2" t="s">
        <v>392</v>
      </c>
      <c r="N49" s="2">
        <v>19</v>
      </c>
      <c r="O49" s="2" t="s">
        <v>0</v>
      </c>
      <c r="P49" s="2">
        <v>329627.51</v>
      </c>
      <c r="Q49" s="13">
        <v>6262922.6900000004</v>
      </c>
      <c r="R49" t="s">
        <v>757</v>
      </c>
    </row>
    <row r="50" spans="1:18" x14ac:dyDescent="0.3">
      <c r="A50" s="2" t="s">
        <v>142</v>
      </c>
      <c r="B50" s="15">
        <v>46211</v>
      </c>
      <c r="C50" t="s">
        <v>719</v>
      </c>
      <c r="D50" s="3" t="s">
        <v>702</v>
      </c>
      <c r="E50" s="2" t="s">
        <v>22</v>
      </c>
      <c r="F50" s="3">
        <v>46170.666759259257</v>
      </c>
      <c r="G50" s="3" t="s">
        <v>717</v>
      </c>
      <c r="H50" t="s">
        <v>759</v>
      </c>
      <c r="I50" t="s">
        <v>701</v>
      </c>
      <c r="J50" s="2" t="s">
        <v>8</v>
      </c>
      <c r="K50" s="2" t="s">
        <v>726</v>
      </c>
      <c r="L50" s="2" t="s">
        <v>79</v>
      </c>
      <c r="M50" s="2" t="s">
        <v>388</v>
      </c>
      <c r="N50" s="2">
        <v>22</v>
      </c>
      <c r="O50" s="2" t="s">
        <v>0</v>
      </c>
      <c r="P50" s="2">
        <v>275907.53000000003</v>
      </c>
      <c r="Q50" s="13">
        <v>6069965.6600000001</v>
      </c>
      <c r="R50" t="s">
        <v>757</v>
      </c>
    </row>
    <row r="51" spans="1:18" x14ac:dyDescent="0.3">
      <c r="A51" s="2" t="s">
        <v>143</v>
      </c>
      <c r="B51" s="15">
        <v>46206</v>
      </c>
      <c r="C51" t="s">
        <v>719</v>
      </c>
      <c r="D51" s="3" t="s">
        <v>702</v>
      </c>
      <c r="E51" s="2" t="s">
        <v>144</v>
      </c>
      <c r="F51" s="3">
        <v>46191.497604166667</v>
      </c>
      <c r="G51" s="3" t="s">
        <v>718</v>
      </c>
      <c r="H51" t="s">
        <v>759</v>
      </c>
      <c r="I51" t="s">
        <v>701</v>
      </c>
      <c r="J51" s="2" t="s">
        <v>8</v>
      </c>
      <c r="K51" s="2" t="s">
        <v>726</v>
      </c>
      <c r="L51" s="2" t="s">
        <v>84</v>
      </c>
      <c r="M51" s="2" t="s">
        <v>419</v>
      </c>
      <c r="N51" s="2">
        <v>6</v>
      </c>
      <c r="O51" s="2" t="s">
        <v>0</v>
      </c>
      <c r="P51" s="2">
        <v>46285.440000000002</v>
      </c>
      <c r="Q51" s="13">
        <v>277712.64000000001</v>
      </c>
      <c r="R51" t="s">
        <v>757</v>
      </c>
    </row>
    <row r="52" spans="1:18" x14ac:dyDescent="0.3">
      <c r="A52" s="2" t="s">
        <v>145</v>
      </c>
      <c r="B52" s="15">
        <v>46206</v>
      </c>
      <c r="C52" t="s">
        <v>719</v>
      </c>
      <c r="D52" s="3" t="s">
        <v>702</v>
      </c>
      <c r="E52" s="2" t="s">
        <v>140</v>
      </c>
      <c r="F52" s="3">
        <v>46171.654178240737</v>
      </c>
      <c r="G52" s="3" t="s">
        <v>717</v>
      </c>
      <c r="H52" t="s">
        <v>759</v>
      </c>
      <c r="I52" t="s">
        <v>701</v>
      </c>
      <c r="J52" s="2" t="s">
        <v>1</v>
      </c>
      <c r="K52" s="2" t="s">
        <v>1</v>
      </c>
      <c r="L52" s="2" t="s">
        <v>78</v>
      </c>
      <c r="M52" s="2" t="s">
        <v>420</v>
      </c>
      <c r="N52" s="2">
        <v>320</v>
      </c>
      <c r="O52" s="2" t="s">
        <v>0</v>
      </c>
      <c r="P52" s="2">
        <v>78834</v>
      </c>
      <c r="Q52" s="13">
        <v>25226880</v>
      </c>
      <c r="R52" t="s">
        <v>757</v>
      </c>
    </row>
    <row r="53" spans="1:18" x14ac:dyDescent="0.3">
      <c r="A53" s="2" t="s">
        <v>146</v>
      </c>
      <c r="B53" s="15">
        <v>46204</v>
      </c>
      <c r="C53" t="s">
        <v>719</v>
      </c>
      <c r="D53" s="3" t="s">
        <v>702</v>
      </c>
      <c r="E53" s="2"/>
      <c r="F53" s="2"/>
      <c r="G53" s="3" t="s">
        <v>690</v>
      </c>
      <c r="H53" t="s">
        <v>759</v>
      </c>
      <c r="I53" t="s">
        <v>699</v>
      </c>
      <c r="J53" s="2" t="s">
        <v>2</v>
      </c>
      <c r="K53" s="2" t="s">
        <v>726</v>
      </c>
      <c r="L53" s="2" t="s">
        <v>80</v>
      </c>
      <c r="M53" s="2" t="s">
        <v>421</v>
      </c>
      <c r="N53" s="2">
        <v>3</v>
      </c>
      <c r="O53" s="2" t="s">
        <v>0</v>
      </c>
      <c r="P53" s="2">
        <v>19118410.920000002</v>
      </c>
      <c r="Q53" s="13">
        <v>57355232.760000005</v>
      </c>
      <c r="R53" t="s">
        <v>757</v>
      </c>
    </row>
    <row r="54" spans="1:18" x14ac:dyDescent="0.3">
      <c r="A54" s="2" t="s">
        <v>147</v>
      </c>
      <c r="B54" s="15">
        <v>46203</v>
      </c>
      <c r="C54" t="s">
        <v>718</v>
      </c>
      <c r="D54" s="3" t="s">
        <v>701</v>
      </c>
      <c r="E54" s="2" t="s">
        <v>74</v>
      </c>
      <c r="F54" s="3">
        <v>46212.399641203701</v>
      </c>
      <c r="G54" s="3" t="s">
        <v>719</v>
      </c>
      <c r="H54" t="s">
        <v>759</v>
      </c>
      <c r="I54" t="s">
        <v>702</v>
      </c>
      <c r="J54" s="2" t="s">
        <v>1</v>
      </c>
      <c r="K54" s="2" t="s">
        <v>1</v>
      </c>
      <c r="L54" s="2"/>
      <c r="M54" s="2" t="s">
        <v>422</v>
      </c>
      <c r="N54" s="2">
        <v>1</v>
      </c>
      <c r="O54" s="2" t="s">
        <v>0</v>
      </c>
      <c r="P54" s="2">
        <v>5049198.32</v>
      </c>
      <c r="Q54" s="13">
        <v>5049198.32</v>
      </c>
      <c r="R54" t="s">
        <v>757</v>
      </c>
    </row>
    <row r="55" spans="1:18" x14ac:dyDescent="0.3">
      <c r="A55" s="2" t="s">
        <v>148</v>
      </c>
      <c r="B55" s="15">
        <v>46203</v>
      </c>
      <c r="C55" t="s">
        <v>718</v>
      </c>
      <c r="D55" s="3" t="s">
        <v>701</v>
      </c>
      <c r="E55" s="2" t="s">
        <v>74</v>
      </c>
      <c r="F55" s="3">
        <v>46212.399641203701</v>
      </c>
      <c r="G55" s="3" t="s">
        <v>719</v>
      </c>
      <c r="H55" t="s">
        <v>759</v>
      </c>
      <c r="I55" t="s">
        <v>702</v>
      </c>
      <c r="J55" s="2" t="s">
        <v>1</v>
      </c>
      <c r="K55" s="2" t="s">
        <v>1</v>
      </c>
      <c r="L55" s="2"/>
      <c r="M55" s="2" t="s">
        <v>423</v>
      </c>
      <c r="N55" s="2">
        <v>1</v>
      </c>
      <c r="O55" s="2" t="s">
        <v>0</v>
      </c>
      <c r="P55" s="2">
        <v>598505.04</v>
      </c>
      <c r="Q55" s="13">
        <v>598505.04</v>
      </c>
      <c r="R55" t="s">
        <v>757</v>
      </c>
    </row>
    <row r="56" spans="1:18" x14ac:dyDescent="0.3">
      <c r="A56" s="2" t="s">
        <v>149</v>
      </c>
      <c r="B56" s="15">
        <v>46203</v>
      </c>
      <c r="C56" t="s">
        <v>718</v>
      </c>
      <c r="D56" s="3" t="s">
        <v>701</v>
      </c>
      <c r="E56" s="2" t="s">
        <v>74</v>
      </c>
      <c r="F56" s="3">
        <v>46212.399641203701</v>
      </c>
      <c r="G56" s="3" t="s">
        <v>719</v>
      </c>
      <c r="H56" t="s">
        <v>759</v>
      </c>
      <c r="I56" t="s">
        <v>702</v>
      </c>
      <c r="J56" s="2" t="s">
        <v>1</v>
      </c>
      <c r="K56" s="2" t="s">
        <v>6</v>
      </c>
      <c r="L56" s="2" t="s">
        <v>85</v>
      </c>
      <c r="M56" s="2" t="s">
        <v>424</v>
      </c>
      <c r="N56" s="2">
        <v>1</v>
      </c>
      <c r="O56" s="2" t="s">
        <v>0</v>
      </c>
      <c r="P56" s="2">
        <v>49223463.030000001</v>
      </c>
      <c r="Q56" s="13">
        <v>49223463.030000001</v>
      </c>
      <c r="R56" t="s">
        <v>757</v>
      </c>
    </row>
    <row r="57" spans="1:18" x14ac:dyDescent="0.3">
      <c r="A57" s="2" t="s">
        <v>150</v>
      </c>
      <c r="B57" s="15">
        <v>46203</v>
      </c>
      <c r="C57" t="s">
        <v>718</v>
      </c>
      <c r="D57" s="3" t="s">
        <v>701</v>
      </c>
      <c r="E57" s="2" t="s">
        <v>15</v>
      </c>
      <c r="F57" s="3">
        <v>46162.748900462961</v>
      </c>
      <c r="G57" s="3" t="s">
        <v>717</v>
      </c>
      <c r="H57" t="s">
        <v>759</v>
      </c>
      <c r="I57" t="s">
        <v>701</v>
      </c>
      <c r="J57" s="2" t="s">
        <v>2</v>
      </c>
      <c r="K57" s="2" t="s">
        <v>726</v>
      </c>
      <c r="L57" s="2" t="s">
        <v>80</v>
      </c>
      <c r="M57" s="2" t="s">
        <v>425</v>
      </c>
      <c r="N57" s="2">
        <v>3</v>
      </c>
      <c r="O57" s="2" t="s">
        <v>0</v>
      </c>
      <c r="P57" s="2">
        <v>33387059.030000001</v>
      </c>
      <c r="Q57" s="13">
        <v>100161177.09</v>
      </c>
      <c r="R57" t="s">
        <v>757</v>
      </c>
    </row>
    <row r="58" spans="1:18" x14ac:dyDescent="0.3">
      <c r="A58" s="2" t="s">
        <v>150</v>
      </c>
      <c r="B58" s="15">
        <v>46203</v>
      </c>
      <c r="C58" t="s">
        <v>718</v>
      </c>
      <c r="D58" s="3" t="s">
        <v>701</v>
      </c>
      <c r="E58" s="2" t="s">
        <v>15</v>
      </c>
      <c r="F58" s="3">
        <v>46162.748900462961</v>
      </c>
      <c r="G58" s="3" t="s">
        <v>717</v>
      </c>
      <c r="H58" t="s">
        <v>759</v>
      </c>
      <c r="I58" t="s">
        <v>701</v>
      </c>
      <c r="J58" s="2" t="s">
        <v>2</v>
      </c>
      <c r="K58" s="2" t="s">
        <v>726</v>
      </c>
      <c r="L58" s="2" t="s">
        <v>80</v>
      </c>
      <c r="M58" s="2" t="s">
        <v>425</v>
      </c>
      <c r="N58" s="2">
        <v>1</v>
      </c>
      <c r="O58" s="2" t="s">
        <v>0</v>
      </c>
      <c r="P58" s="2">
        <v>33387059.030000001</v>
      </c>
      <c r="Q58" s="13">
        <v>33387059.030000001</v>
      </c>
      <c r="R58" t="s">
        <v>757</v>
      </c>
    </row>
    <row r="59" spans="1:18" x14ac:dyDescent="0.3">
      <c r="A59" s="2" t="s">
        <v>151</v>
      </c>
      <c r="B59" s="15">
        <v>46198</v>
      </c>
      <c r="C59" t="s">
        <v>718</v>
      </c>
      <c r="D59" s="3" t="s">
        <v>701</v>
      </c>
      <c r="E59" s="2" t="s">
        <v>152</v>
      </c>
      <c r="F59" s="3">
        <v>46195.405729166669</v>
      </c>
      <c r="G59" s="3" t="s">
        <v>718</v>
      </c>
      <c r="H59" t="s">
        <v>759</v>
      </c>
      <c r="I59" t="s">
        <v>701</v>
      </c>
      <c r="J59" s="2" t="s">
        <v>1</v>
      </c>
      <c r="K59" s="2" t="s">
        <v>1</v>
      </c>
      <c r="L59" s="2"/>
      <c r="M59" s="2" t="s">
        <v>413</v>
      </c>
      <c r="N59" s="2">
        <v>20</v>
      </c>
      <c r="O59" s="2" t="s">
        <v>0</v>
      </c>
      <c r="P59" s="2">
        <v>19125</v>
      </c>
      <c r="Q59" s="13">
        <v>382500</v>
      </c>
      <c r="R59" t="s">
        <v>757</v>
      </c>
    </row>
    <row r="60" spans="1:18" x14ac:dyDescent="0.3">
      <c r="A60" s="2" t="s">
        <v>151</v>
      </c>
      <c r="B60" s="15">
        <v>46198</v>
      </c>
      <c r="C60" t="s">
        <v>718</v>
      </c>
      <c r="D60" s="3" t="s">
        <v>701</v>
      </c>
      <c r="E60" s="2" t="s">
        <v>152</v>
      </c>
      <c r="F60" s="3">
        <v>46195.405729166669</v>
      </c>
      <c r="G60" s="3" t="s">
        <v>718</v>
      </c>
      <c r="H60" t="s">
        <v>759</v>
      </c>
      <c r="I60" t="s">
        <v>701</v>
      </c>
      <c r="J60" s="2" t="s">
        <v>1</v>
      </c>
      <c r="K60" s="2" t="s">
        <v>1</v>
      </c>
      <c r="L60" s="2"/>
      <c r="M60" s="2" t="s">
        <v>400</v>
      </c>
      <c r="N60" s="2">
        <v>30</v>
      </c>
      <c r="O60" s="2" t="s">
        <v>0</v>
      </c>
      <c r="P60" s="2">
        <v>2400</v>
      </c>
      <c r="Q60" s="13">
        <v>72000</v>
      </c>
      <c r="R60" t="s">
        <v>757</v>
      </c>
    </row>
    <row r="61" spans="1:18" x14ac:dyDescent="0.3">
      <c r="A61" s="2" t="s">
        <v>153</v>
      </c>
      <c r="B61" s="15">
        <v>46198</v>
      </c>
      <c r="C61" t="s">
        <v>718</v>
      </c>
      <c r="D61" s="3" t="s">
        <v>701</v>
      </c>
      <c r="E61" s="2" t="s">
        <v>154</v>
      </c>
      <c r="F61" s="3">
        <v>46169.653645833343</v>
      </c>
      <c r="G61" s="3" t="s">
        <v>717</v>
      </c>
      <c r="H61" t="s">
        <v>759</v>
      </c>
      <c r="I61" t="s">
        <v>701</v>
      </c>
      <c r="J61" s="2" t="s">
        <v>1</v>
      </c>
      <c r="K61" s="2" t="s">
        <v>1</v>
      </c>
      <c r="L61" s="2"/>
      <c r="M61" s="2" t="s">
        <v>426</v>
      </c>
      <c r="N61" s="2">
        <v>32</v>
      </c>
      <c r="O61" s="2" t="s">
        <v>0</v>
      </c>
      <c r="P61" s="2">
        <v>62034.01</v>
      </c>
      <c r="Q61" s="13">
        <v>1985088.32</v>
      </c>
      <c r="R61" t="s">
        <v>757</v>
      </c>
    </row>
    <row r="62" spans="1:18" x14ac:dyDescent="0.3">
      <c r="A62" s="2" t="s">
        <v>155</v>
      </c>
      <c r="B62" s="15">
        <v>46198</v>
      </c>
      <c r="C62" t="s">
        <v>718</v>
      </c>
      <c r="D62" s="3" t="s">
        <v>701</v>
      </c>
      <c r="E62" s="2" t="s">
        <v>156</v>
      </c>
      <c r="F62" s="3">
        <v>46192.553495370368</v>
      </c>
      <c r="G62" s="3" t="s">
        <v>718</v>
      </c>
      <c r="H62" t="s">
        <v>759</v>
      </c>
      <c r="I62" t="s">
        <v>701</v>
      </c>
      <c r="J62" s="2" t="s">
        <v>2</v>
      </c>
      <c r="K62" s="2" t="s">
        <v>726</v>
      </c>
      <c r="L62" s="2" t="s">
        <v>80</v>
      </c>
      <c r="M62" s="2" t="s">
        <v>427</v>
      </c>
      <c r="N62" s="2">
        <v>16</v>
      </c>
      <c r="O62" s="2" t="s">
        <v>0</v>
      </c>
      <c r="P62" s="2">
        <v>120252.21</v>
      </c>
      <c r="Q62" s="13">
        <v>1924035.36</v>
      </c>
      <c r="R62" t="s">
        <v>757</v>
      </c>
    </row>
    <row r="63" spans="1:18" x14ac:dyDescent="0.3">
      <c r="A63" s="2" t="s">
        <v>157</v>
      </c>
      <c r="B63" s="15">
        <v>46198</v>
      </c>
      <c r="C63" t="s">
        <v>718</v>
      </c>
      <c r="D63" s="3" t="s">
        <v>701</v>
      </c>
      <c r="E63" s="2" t="s">
        <v>28</v>
      </c>
      <c r="F63" s="3">
        <v>46126.40351851852</v>
      </c>
      <c r="G63" s="3" t="s">
        <v>716</v>
      </c>
      <c r="H63" t="s">
        <v>759</v>
      </c>
      <c r="I63" t="s">
        <v>701</v>
      </c>
      <c r="J63" s="2" t="s">
        <v>8</v>
      </c>
      <c r="K63" s="2" t="s">
        <v>726</v>
      </c>
      <c r="L63" s="2" t="s">
        <v>84</v>
      </c>
      <c r="M63" s="2" t="s">
        <v>406</v>
      </c>
      <c r="N63" s="2">
        <v>450</v>
      </c>
      <c r="O63" s="2" t="s">
        <v>0</v>
      </c>
      <c r="P63" s="2">
        <v>66498.25</v>
      </c>
      <c r="Q63" s="13">
        <v>29924212.5</v>
      </c>
      <c r="R63" t="s">
        <v>757</v>
      </c>
    </row>
    <row r="64" spans="1:18" x14ac:dyDescent="0.3">
      <c r="A64" s="2" t="s">
        <v>158</v>
      </c>
      <c r="B64" s="15">
        <v>46196</v>
      </c>
      <c r="C64" t="s">
        <v>718</v>
      </c>
      <c r="D64" s="3" t="s">
        <v>701</v>
      </c>
      <c r="E64" s="2" t="s">
        <v>109</v>
      </c>
      <c r="F64" s="3">
        <v>46190.653761574067</v>
      </c>
      <c r="G64" s="3" t="s">
        <v>718</v>
      </c>
      <c r="H64" t="s">
        <v>759</v>
      </c>
      <c r="I64" t="s">
        <v>701</v>
      </c>
      <c r="J64" s="2" t="s">
        <v>8</v>
      </c>
      <c r="K64" s="2" t="s">
        <v>726</v>
      </c>
      <c r="L64" s="2" t="s">
        <v>79</v>
      </c>
      <c r="M64" s="2" t="s">
        <v>428</v>
      </c>
      <c r="N64" s="2">
        <v>500</v>
      </c>
      <c r="O64" s="2" t="s">
        <v>0</v>
      </c>
      <c r="P64" s="2">
        <v>3577.51</v>
      </c>
      <c r="Q64" s="13">
        <v>1788755</v>
      </c>
      <c r="R64" t="s">
        <v>757</v>
      </c>
    </row>
    <row r="65" spans="1:18" x14ac:dyDescent="0.3">
      <c r="A65" s="2" t="s">
        <v>158</v>
      </c>
      <c r="B65" s="15">
        <v>46196</v>
      </c>
      <c r="C65" t="s">
        <v>718</v>
      </c>
      <c r="D65" s="3" t="s">
        <v>701</v>
      </c>
      <c r="E65" s="2" t="s">
        <v>109</v>
      </c>
      <c r="F65" s="3">
        <v>46190.653761574067</v>
      </c>
      <c r="G65" s="3" t="s">
        <v>718</v>
      </c>
      <c r="H65" t="s">
        <v>759</v>
      </c>
      <c r="I65" t="s">
        <v>701</v>
      </c>
      <c r="J65" s="2" t="s">
        <v>8</v>
      </c>
      <c r="K65" s="2" t="s">
        <v>726</v>
      </c>
      <c r="L65" s="2" t="s">
        <v>79</v>
      </c>
      <c r="M65" s="2" t="s">
        <v>429</v>
      </c>
      <c r="N65" s="2">
        <v>500</v>
      </c>
      <c r="O65" s="2" t="s">
        <v>0</v>
      </c>
      <c r="P65" s="2">
        <v>3577.51</v>
      </c>
      <c r="Q65" s="13">
        <v>1788755</v>
      </c>
      <c r="R65" t="s">
        <v>757</v>
      </c>
    </row>
    <row r="66" spans="1:18" x14ac:dyDescent="0.3">
      <c r="A66" s="2" t="s">
        <v>158</v>
      </c>
      <c r="B66" s="15">
        <v>46196</v>
      </c>
      <c r="C66" t="s">
        <v>718</v>
      </c>
      <c r="D66" s="3" t="s">
        <v>701</v>
      </c>
      <c r="E66" s="2" t="s">
        <v>109</v>
      </c>
      <c r="F66" s="3">
        <v>46190.653761574067</v>
      </c>
      <c r="G66" s="3" t="s">
        <v>718</v>
      </c>
      <c r="H66" t="s">
        <v>759</v>
      </c>
      <c r="I66" t="s">
        <v>701</v>
      </c>
      <c r="J66" s="2" t="s">
        <v>8</v>
      </c>
      <c r="K66" s="2" t="s">
        <v>726</v>
      </c>
      <c r="L66" s="2" t="s">
        <v>79</v>
      </c>
      <c r="M66" s="2" t="s">
        <v>409</v>
      </c>
      <c r="N66" s="2">
        <v>10</v>
      </c>
      <c r="O66" s="2" t="s">
        <v>0</v>
      </c>
      <c r="P66" s="2">
        <v>165115.71</v>
      </c>
      <c r="Q66" s="13">
        <v>1651157.0999999999</v>
      </c>
      <c r="R66" t="s">
        <v>757</v>
      </c>
    </row>
    <row r="67" spans="1:18" x14ac:dyDescent="0.3">
      <c r="A67" s="2" t="s">
        <v>158</v>
      </c>
      <c r="B67" s="15">
        <v>46196</v>
      </c>
      <c r="C67" t="s">
        <v>718</v>
      </c>
      <c r="D67" s="3" t="s">
        <v>701</v>
      </c>
      <c r="E67" s="2" t="s">
        <v>109</v>
      </c>
      <c r="F67" s="3">
        <v>46190.653761574067</v>
      </c>
      <c r="G67" s="3" t="s">
        <v>718</v>
      </c>
      <c r="H67" t="s">
        <v>759</v>
      </c>
      <c r="I67" t="s">
        <v>701</v>
      </c>
      <c r="J67" s="2" t="s">
        <v>8</v>
      </c>
      <c r="K67" s="2" t="s">
        <v>726</v>
      </c>
      <c r="L67" s="2" t="s">
        <v>79</v>
      </c>
      <c r="M67" s="2" t="s">
        <v>430</v>
      </c>
      <c r="N67" s="2">
        <v>40</v>
      </c>
      <c r="O67" s="2" t="s">
        <v>0</v>
      </c>
      <c r="P67" s="2">
        <v>64635.9</v>
      </c>
      <c r="Q67" s="13">
        <v>2585436</v>
      </c>
      <c r="R67" t="s">
        <v>757</v>
      </c>
    </row>
    <row r="68" spans="1:18" x14ac:dyDescent="0.3">
      <c r="A68" s="2" t="s">
        <v>158</v>
      </c>
      <c r="B68" s="15">
        <v>46196</v>
      </c>
      <c r="C68" t="s">
        <v>718</v>
      </c>
      <c r="D68" s="3" t="s">
        <v>701</v>
      </c>
      <c r="E68" s="2" t="s">
        <v>109</v>
      </c>
      <c r="F68" s="3">
        <v>46190.653761574067</v>
      </c>
      <c r="G68" s="3" t="s">
        <v>718</v>
      </c>
      <c r="H68" t="s">
        <v>759</v>
      </c>
      <c r="I68" t="s">
        <v>701</v>
      </c>
      <c r="J68" s="2" t="s">
        <v>8</v>
      </c>
      <c r="K68" s="2" t="s">
        <v>726</v>
      </c>
      <c r="L68" s="2" t="s">
        <v>90</v>
      </c>
      <c r="M68" s="2" t="s">
        <v>431</v>
      </c>
      <c r="N68" s="2">
        <v>480</v>
      </c>
      <c r="O68" s="2" t="s">
        <v>0</v>
      </c>
      <c r="P68" s="2">
        <v>9914.11</v>
      </c>
      <c r="Q68" s="13">
        <v>4758772.8000000007</v>
      </c>
      <c r="R68" t="s">
        <v>757</v>
      </c>
    </row>
    <row r="69" spans="1:18" x14ac:dyDescent="0.3">
      <c r="A69" s="2" t="s">
        <v>158</v>
      </c>
      <c r="B69" s="15">
        <v>46196</v>
      </c>
      <c r="C69" t="s">
        <v>718</v>
      </c>
      <c r="D69" s="3" t="s">
        <v>701</v>
      </c>
      <c r="E69" s="2" t="s">
        <v>109</v>
      </c>
      <c r="F69" s="3">
        <v>46190.653761574067</v>
      </c>
      <c r="G69" s="3" t="s">
        <v>718</v>
      </c>
      <c r="H69" t="s">
        <v>759</v>
      </c>
      <c r="I69" t="s">
        <v>701</v>
      </c>
      <c r="J69" s="2" t="s">
        <v>8</v>
      </c>
      <c r="K69" s="2" t="s">
        <v>726</v>
      </c>
      <c r="L69" s="2" t="s">
        <v>84</v>
      </c>
      <c r="M69" s="2" t="s">
        <v>432</v>
      </c>
      <c r="N69" s="2">
        <v>75</v>
      </c>
      <c r="O69" s="2" t="s">
        <v>0</v>
      </c>
      <c r="P69" s="2">
        <v>10904.5</v>
      </c>
      <c r="Q69" s="13">
        <v>817837.5</v>
      </c>
      <c r="R69" t="s">
        <v>757</v>
      </c>
    </row>
    <row r="70" spans="1:18" x14ac:dyDescent="0.3">
      <c r="A70" s="2" t="s">
        <v>158</v>
      </c>
      <c r="B70" s="15">
        <v>46196</v>
      </c>
      <c r="C70" t="s">
        <v>718</v>
      </c>
      <c r="D70" s="3" t="s">
        <v>701</v>
      </c>
      <c r="E70" s="2" t="s">
        <v>109</v>
      </c>
      <c r="F70" s="3">
        <v>46190.653761574067</v>
      </c>
      <c r="G70" s="3" t="s">
        <v>718</v>
      </c>
      <c r="H70" t="s">
        <v>759</v>
      </c>
      <c r="I70" t="s">
        <v>701</v>
      </c>
      <c r="J70" s="2" t="s">
        <v>8</v>
      </c>
      <c r="K70" s="2" t="s">
        <v>726</v>
      </c>
      <c r="L70" s="2" t="s">
        <v>84</v>
      </c>
      <c r="M70" s="2" t="s">
        <v>433</v>
      </c>
      <c r="N70" s="2">
        <v>300</v>
      </c>
      <c r="O70" s="2" t="s">
        <v>0</v>
      </c>
      <c r="P70" s="2">
        <v>14034.83</v>
      </c>
      <c r="Q70" s="13">
        <v>4210449</v>
      </c>
      <c r="R70" t="s">
        <v>757</v>
      </c>
    </row>
    <row r="71" spans="1:18" x14ac:dyDescent="0.3">
      <c r="A71" s="2" t="s">
        <v>158</v>
      </c>
      <c r="B71" s="15">
        <v>46196</v>
      </c>
      <c r="C71" t="s">
        <v>718</v>
      </c>
      <c r="D71" s="3" t="s">
        <v>701</v>
      </c>
      <c r="E71" s="2" t="s">
        <v>109</v>
      </c>
      <c r="F71" s="3">
        <v>46190.653761574067</v>
      </c>
      <c r="G71" s="3" t="s">
        <v>718</v>
      </c>
      <c r="H71" t="s">
        <v>759</v>
      </c>
      <c r="I71" t="s">
        <v>701</v>
      </c>
      <c r="J71" s="2" t="s">
        <v>8</v>
      </c>
      <c r="K71" s="2" t="s">
        <v>726</v>
      </c>
      <c r="L71" s="2" t="s">
        <v>84</v>
      </c>
      <c r="M71" s="2" t="s">
        <v>434</v>
      </c>
      <c r="N71" s="2">
        <v>300</v>
      </c>
      <c r="O71" s="2" t="s">
        <v>0</v>
      </c>
      <c r="P71" s="2">
        <v>16683.560000000001</v>
      </c>
      <c r="Q71" s="13">
        <v>5005068</v>
      </c>
      <c r="R71" t="s">
        <v>757</v>
      </c>
    </row>
    <row r="72" spans="1:18" x14ac:dyDescent="0.3">
      <c r="A72" s="2" t="s">
        <v>158</v>
      </c>
      <c r="B72" s="15">
        <v>46196</v>
      </c>
      <c r="C72" t="s">
        <v>718</v>
      </c>
      <c r="D72" s="3" t="s">
        <v>701</v>
      </c>
      <c r="E72" s="2" t="s">
        <v>109</v>
      </c>
      <c r="F72" s="3">
        <v>46190.653761574067</v>
      </c>
      <c r="G72" s="3" t="s">
        <v>718</v>
      </c>
      <c r="H72" t="s">
        <v>759</v>
      </c>
      <c r="I72" t="s">
        <v>701</v>
      </c>
      <c r="J72" s="2" t="s">
        <v>8</v>
      </c>
      <c r="K72" s="2" t="s">
        <v>726</v>
      </c>
      <c r="L72" s="2" t="s">
        <v>84</v>
      </c>
      <c r="M72" s="2" t="s">
        <v>435</v>
      </c>
      <c r="N72" s="2">
        <v>300</v>
      </c>
      <c r="O72" s="2" t="s">
        <v>0</v>
      </c>
      <c r="P72" s="2">
        <v>14619.61</v>
      </c>
      <c r="Q72" s="13">
        <v>4385883</v>
      </c>
      <c r="R72" t="s">
        <v>757</v>
      </c>
    </row>
    <row r="73" spans="1:18" x14ac:dyDescent="0.3">
      <c r="A73" s="2" t="s">
        <v>158</v>
      </c>
      <c r="B73" s="15">
        <v>46196</v>
      </c>
      <c r="C73" t="s">
        <v>718</v>
      </c>
      <c r="D73" s="3" t="s">
        <v>701</v>
      </c>
      <c r="E73" s="2" t="s">
        <v>109</v>
      </c>
      <c r="F73" s="3">
        <v>46190.653761574067</v>
      </c>
      <c r="G73" s="3" t="s">
        <v>718</v>
      </c>
      <c r="H73" t="s">
        <v>759</v>
      </c>
      <c r="I73" t="s">
        <v>701</v>
      </c>
      <c r="J73" s="2" t="s">
        <v>8</v>
      </c>
      <c r="K73" s="2" t="s">
        <v>726</v>
      </c>
      <c r="L73" s="2" t="s">
        <v>84</v>
      </c>
      <c r="M73" s="2" t="s">
        <v>436</v>
      </c>
      <c r="N73" s="2">
        <v>300</v>
      </c>
      <c r="O73" s="2" t="s">
        <v>0</v>
      </c>
      <c r="P73" s="2">
        <v>16545.97</v>
      </c>
      <c r="Q73" s="13">
        <v>4963791</v>
      </c>
      <c r="R73" t="s">
        <v>757</v>
      </c>
    </row>
    <row r="74" spans="1:18" x14ac:dyDescent="0.3">
      <c r="A74" s="2" t="s">
        <v>158</v>
      </c>
      <c r="B74" s="15">
        <v>46196</v>
      </c>
      <c r="C74" t="s">
        <v>718</v>
      </c>
      <c r="D74" s="3" t="s">
        <v>701</v>
      </c>
      <c r="E74" s="2" t="s">
        <v>109</v>
      </c>
      <c r="F74" s="3">
        <v>46190.653761574067</v>
      </c>
      <c r="G74" s="3" t="s">
        <v>718</v>
      </c>
      <c r="H74" t="s">
        <v>759</v>
      </c>
      <c r="I74" t="s">
        <v>701</v>
      </c>
      <c r="J74" s="2" t="s">
        <v>8</v>
      </c>
      <c r="K74" s="2" t="s">
        <v>726</v>
      </c>
      <c r="L74" s="2" t="s">
        <v>84</v>
      </c>
      <c r="M74" s="2" t="s">
        <v>437</v>
      </c>
      <c r="N74" s="2">
        <v>180</v>
      </c>
      <c r="O74" s="2" t="s">
        <v>0</v>
      </c>
      <c r="P74" s="2">
        <v>18713.11</v>
      </c>
      <c r="Q74" s="13">
        <v>3368359.8000000003</v>
      </c>
      <c r="R74" t="s">
        <v>757</v>
      </c>
    </row>
    <row r="75" spans="1:18" x14ac:dyDescent="0.3">
      <c r="A75" s="2" t="s">
        <v>158</v>
      </c>
      <c r="B75" s="15">
        <v>46196</v>
      </c>
      <c r="C75" t="s">
        <v>718</v>
      </c>
      <c r="D75" s="3" t="s">
        <v>701</v>
      </c>
      <c r="E75" s="2" t="s">
        <v>109</v>
      </c>
      <c r="F75" s="3">
        <v>46190.653761574067</v>
      </c>
      <c r="G75" s="3" t="s">
        <v>718</v>
      </c>
      <c r="H75" t="s">
        <v>759</v>
      </c>
      <c r="I75" t="s">
        <v>701</v>
      </c>
      <c r="J75" s="2" t="s">
        <v>8</v>
      </c>
      <c r="K75" s="2" t="s">
        <v>726</v>
      </c>
      <c r="L75" s="2" t="s">
        <v>90</v>
      </c>
      <c r="M75" s="2" t="s">
        <v>416</v>
      </c>
      <c r="N75" s="2">
        <v>20</v>
      </c>
      <c r="O75" s="2" t="s">
        <v>0</v>
      </c>
      <c r="P75" s="2">
        <v>188885.59</v>
      </c>
      <c r="Q75" s="13">
        <v>3777711.8</v>
      </c>
      <c r="R75" t="s">
        <v>757</v>
      </c>
    </row>
    <row r="76" spans="1:18" x14ac:dyDescent="0.3">
      <c r="A76" s="2" t="s">
        <v>158</v>
      </c>
      <c r="B76" s="15">
        <v>46196</v>
      </c>
      <c r="C76" t="s">
        <v>718</v>
      </c>
      <c r="D76" s="3" t="s">
        <v>701</v>
      </c>
      <c r="E76" s="2" t="s">
        <v>109</v>
      </c>
      <c r="F76" s="3">
        <v>46190.653761574067</v>
      </c>
      <c r="G76" s="3" t="s">
        <v>718</v>
      </c>
      <c r="H76" t="s">
        <v>759</v>
      </c>
      <c r="I76" t="s">
        <v>701</v>
      </c>
      <c r="J76" s="2" t="s">
        <v>8</v>
      </c>
      <c r="K76" s="2" t="s">
        <v>726</v>
      </c>
      <c r="L76" s="2" t="s">
        <v>79</v>
      </c>
      <c r="M76" s="2" t="s">
        <v>397</v>
      </c>
      <c r="N76" s="2">
        <v>2</v>
      </c>
      <c r="O76" s="2" t="s">
        <v>0</v>
      </c>
      <c r="P76" s="2">
        <v>213549.58</v>
      </c>
      <c r="Q76" s="13">
        <v>427099.16</v>
      </c>
      <c r="R76" t="s">
        <v>757</v>
      </c>
    </row>
    <row r="77" spans="1:18" x14ac:dyDescent="0.3">
      <c r="A77" s="2" t="s">
        <v>158</v>
      </c>
      <c r="B77" s="15">
        <v>46196</v>
      </c>
      <c r="C77" t="s">
        <v>718</v>
      </c>
      <c r="D77" s="3" t="s">
        <v>701</v>
      </c>
      <c r="E77" s="2" t="s">
        <v>109</v>
      </c>
      <c r="F77" s="3">
        <v>46190.653761574067</v>
      </c>
      <c r="G77" s="3" t="s">
        <v>718</v>
      </c>
      <c r="H77" t="s">
        <v>759</v>
      </c>
      <c r="I77" t="s">
        <v>701</v>
      </c>
      <c r="J77" s="2" t="s">
        <v>8</v>
      </c>
      <c r="K77" s="2" t="s">
        <v>726</v>
      </c>
      <c r="L77" s="2" t="s">
        <v>83</v>
      </c>
      <c r="M77" s="2" t="s">
        <v>438</v>
      </c>
      <c r="N77" s="2">
        <v>6</v>
      </c>
      <c r="O77" s="2" t="s">
        <v>0</v>
      </c>
      <c r="P77" s="2">
        <v>168555.6</v>
      </c>
      <c r="Q77" s="13">
        <v>1011333.6000000001</v>
      </c>
      <c r="R77" t="s">
        <v>757</v>
      </c>
    </row>
    <row r="78" spans="1:18" x14ac:dyDescent="0.3">
      <c r="A78" s="2" t="s">
        <v>159</v>
      </c>
      <c r="B78" s="15">
        <v>46196</v>
      </c>
      <c r="C78" t="s">
        <v>718</v>
      </c>
      <c r="D78" s="3" t="s">
        <v>701</v>
      </c>
      <c r="E78" s="2" t="s">
        <v>160</v>
      </c>
      <c r="F78" s="3">
        <v>46191.685104166667</v>
      </c>
      <c r="G78" s="3" t="s">
        <v>718</v>
      </c>
      <c r="H78" t="s">
        <v>759</v>
      </c>
      <c r="I78" t="s">
        <v>701</v>
      </c>
      <c r="J78" s="2" t="s">
        <v>8</v>
      </c>
      <c r="K78" s="2" t="s">
        <v>726</v>
      </c>
      <c r="L78" s="2" t="s">
        <v>84</v>
      </c>
      <c r="M78" s="2" t="s">
        <v>439</v>
      </c>
      <c r="N78" s="2">
        <v>27</v>
      </c>
      <c r="O78" s="2" t="s">
        <v>0</v>
      </c>
      <c r="P78" s="2">
        <v>23697.79</v>
      </c>
      <c r="Q78" s="13">
        <v>639840.33000000007</v>
      </c>
      <c r="R78" t="s">
        <v>757</v>
      </c>
    </row>
    <row r="79" spans="1:18" x14ac:dyDescent="0.3">
      <c r="A79" s="2" t="s">
        <v>161</v>
      </c>
      <c r="B79" s="15">
        <v>46196</v>
      </c>
      <c r="C79" t="s">
        <v>718</v>
      </c>
      <c r="D79" s="3" t="s">
        <v>701</v>
      </c>
      <c r="E79" s="2" t="s">
        <v>160</v>
      </c>
      <c r="F79" s="3">
        <v>46191.685104166667</v>
      </c>
      <c r="G79" s="3" t="s">
        <v>718</v>
      </c>
      <c r="H79" t="s">
        <v>759</v>
      </c>
      <c r="I79" t="s">
        <v>701</v>
      </c>
      <c r="J79" s="2" t="s">
        <v>8</v>
      </c>
      <c r="K79" s="2" t="s">
        <v>726</v>
      </c>
      <c r="L79" s="2" t="s">
        <v>84</v>
      </c>
      <c r="M79" s="2" t="s">
        <v>440</v>
      </c>
      <c r="N79" s="2">
        <v>13</v>
      </c>
      <c r="O79" s="2" t="s">
        <v>0</v>
      </c>
      <c r="P79" s="2">
        <v>23697.74</v>
      </c>
      <c r="Q79" s="13">
        <v>308070.62</v>
      </c>
      <c r="R79" t="s">
        <v>757</v>
      </c>
    </row>
    <row r="80" spans="1:18" x14ac:dyDescent="0.3">
      <c r="A80" s="2" t="s">
        <v>161</v>
      </c>
      <c r="B80" s="15">
        <v>46196</v>
      </c>
      <c r="C80" t="s">
        <v>718</v>
      </c>
      <c r="D80" s="3" t="s">
        <v>701</v>
      </c>
      <c r="E80" s="2" t="s">
        <v>160</v>
      </c>
      <c r="F80" s="3">
        <v>46191.685104166667</v>
      </c>
      <c r="G80" s="3" t="s">
        <v>718</v>
      </c>
      <c r="H80" t="s">
        <v>759</v>
      </c>
      <c r="I80" t="s">
        <v>701</v>
      </c>
      <c r="J80" s="2" t="s">
        <v>8</v>
      </c>
      <c r="K80" s="2" t="s">
        <v>726</v>
      </c>
      <c r="L80" s="2" t="s">
        <v>84</v>
      </c>
      <c r="M80" s="2" t="s">
        <v>439</v>
      </c>
      <c r="N80" s="2">
        <v>40</v>
      </c>
      <c r="O80" s="2" t="s">
        <v>0</v>
      </c>
      <c r="P80" s="2">
        <v>30582.27</v>
      </c>
      <c r="Q80" s="13">
        <v>1223290.8</v>
      </c>
      <c r="R80" t="s">
        <v>757</v>
      </c>
    </row>
    <row r="81" spans="1:18" x14ac:dyDescent="0.3">
      <c r="A81" s="2" t="s">
        <v>162</v>
      </c>
      <c r="B81" s="15">
        <v>46196</v>
      </c>
      <c r="C81" t="s">
        <v>718</v>
      </c>
      <c r="D81" s="3" t="s">
        <v>701</v>
      </c>
      <c r="E81" s="2" t="s">
        <v>121</v>
      </c>
      <c r="F81" s="3">
        <v>46191.393877314818</v>
      </c>
      <c r="G81" s="3" t="s">
        <v>718</v>
      </c>
      <c r="H81" t="s">
        <v>759</v>
      </c>
      <c r="I81" t="s">
        <v>701</v>
      </c>
      <c r="J81" s="2" t="s">
        <v>1</v>
      </c>
      <c r="K81" s="2" t="s">
        <v>745</v>
      </c>
      <c r="L81" s="2" t="s">
        <v>89</v>
      </c>
      <c r="M81" s="2" t="s">
        <v>441</v>
      </c>
      <c r="N81" s="2">
        <v>10</v>
      </c>
      <c r="O81" s="2" t="s">
        <v>0</v>
      </c>
      <c r="P81" s="2">
        <v>20688.07</v>
      </c>
      <c r="Q81" s="13">
        <v>206880.7</v>
      </c>
      <c r="R81" t="s">
        <v>757</v>
      </c>
    </row>
    <row r="82" spans="1:18" x14ac:dyDescent="0.3">
      <c r="A82" s="2" t="s">
        <v>162</v>
      </c>
      <c r="B82" s="15">
        <v>46196</v>
      </c>
      <c r="C82" t="s">
        <v>718</v>
      </c>
      <c r="D82" s="3" t="s">
        <v>701</v>
      </c>
      <c r="E82" s="2" t="s">
        <v>121</v>
      </c>
      <c r="F82" s="3">
        <v>46191.393877314818</v>
      </c>
      <c r="G82" s="3" t="s">
        <v>718</v>
      </c>
      <c r="H82" t="s">
        <v>759</v>
      </c>
      <c r="I82" t="s">
        <v>701</v>
      </c>
      <c r="J82" s="2" t="s">
        <v>1</v>
      </c>
      <c r="K82" s="2" t="s">
        <v>745</v>
      </c>
      <c r="L82" s="2" t="s">
        <v>89</v>
      </c>
      <c r="M82" s="2" t="s">
        <v>403</v>
      </c>
      <c r="N82" s="2">
        <v>1</v>
      </c>
      <c r="O82" s="2" t="s">
        <v>0</v>
      </c>
      <c r="P82" s="2">
        <v>12593.28</v>
      </c>
      <c r="Q82" s="13">
        <v>12593.28</v>
      </c>
      <c r="R82" t="s">
        <v>757</v>
      </c>
    </row>
    <row r="83" spans="1:18" x14ac:dyDescent="0.3">
      <c r="A83" s="2" t="s">
        <v>162</v>
      </c>
      <c r="B83" s="15">
        <v>46196</v>
      </c>
      <c r="C83" t="s">
        <v>718</v>
      </c>
      <c r="D83" s="3" t="s">
        <v>701</v>
      </c>
      <c r="E83" s="2" t="s">
        <v>121</v>
      </c>
      <c r="F83" s="3">
        <v>46191.393877314818</v>
      </c>
      <c r="G83" s="3" t="s">
        <v>718</v>
      </c>
      <c r="H83" t="s">
        <v>759</v>
      </c>
      <c r="I83" t="s">
        <v>701</v>
      </c>
      <c r="J83" s="2" t="s">
        <v>1</v>
      </c>
      <c r="K83" s="2" t="s">
        <v>745</v>
      </c>
      <c r="L83" s="2" t="s">
        <v>89</v>
      </c>
      <c r="M83" s="2" t="s">
        <v>442</v>
      </c>
      <c r="N83" s="2">
        <v>20</v>
      </c>
      <c r="O83" s="2" t="s">
        <v>0</v>
      </c>
      <c r="P83" s="2">
        <v>4947.1400000000003</v>
      </c>
      <c r="Q83" s="13">
        <v>98942.8</v>
      </c>
      <c r="R83" t="s">
        <v>757</v>
      </c>
    </row>
    <row r="84" spans="1:18" x14ac:dyDescent="0.3">
      <c r="A84" s="2" t="s">
        <v>163</v>
      </c>
      <c r="B84" s="15">
        <v>46196</v>
      </c>
      <c r="C84" t="s">
        <v>718</v>
      </c>
      <c r="D84" s="3" t="s">
        <v>701</v>
      </c>
      <c r="E84" s="2" t="s">
        <v>144</v>
      </c>
      <c r="F84" s="3">
        <v>46191.497604166667</v>
      </c>
      <c r="G84" s="3" t="s">
        <v>718</v>
      </c>
      <c r="H84" t="s">
        <v>759</v>
      </c>
      <c r="I84" t="s">
        <v>701</v>
      </c>
      <c r="J84" s="2" t="s">
        <v>8</v>
      </c>
      <c r="K84" s="2" t="s">
        <v>726</v>
      </c>
      <c r="L84" s="2" t="s">
        <v>79</v>
      </c>
      <c r="M84" s="2" t="s">
        <v>443</v>
      </c>
      <c r="N84" s="2">
        <v>4</v>
      </c>
      <c r="O84" s="2" t="s">
        <v>0</v>
      </c>
      <c r="P84" s="2">
        <v>6918.91</v>
      </c>
      <c r="Q84" s="13">
        <v>27675.64</v>
      </c>
      <c r="R84" t="s">
        <v>757</v>
      </c>
    </row>
    <row r="85" spans="1:18" x14ac:dyDescent="0.3">
      <c r="A85" s="2" t="s">
        <v>163</v>
      </c>
      <c r="B85" s="15">
        <v>46196</v>
      </c>
      <c r="C85" t="s">
        <v>718</v>
      </c>
      <c r="D85" s="3" t="s">
        <v>701</v>
      </c>
      <c r="E85" s="2" t="s">
        <v>144</v>
      </c>
      <c r="F85" s="3">
        <v>46191.497604166667</v>
      </c>
      <c r="G85" s="3" t="s">
        <v>718</v>
      </c>
      <c r="H85" t="s">
        <v>759</v>
      </c>
      <c r="I85" t="s">
        <v>701</v>
      </c>
      <c r="J85" s="2" t="s">
        <v>8</v>
      </c>
      <c r="K85" s="2" t="s">
        <v>726</v>
      </c>
      <c r="L85" s="2" t="s">
        <v>84</v>
      </c>
      <c r="M85" s="2" t="s">
        <v>444</v>
      </c>
      <c r="N85" s="2">
        <v>3</v>
      </c>
      <c r="O85" s="2" t="s">
        <v>0</v>
      </c>
      <c r="P85" s="2">
        <v>37709.24</v>
      </c>
      <c r="Q85" s="13">
        <v>113127.72</v>
      </c>
      <c r="R85" t="s">
        <v>757</v>
      </c>
    </row>
    <row r="86" spans="1:18" x14ac:dyDescent="0.3">
      <c r="A86" s="2" t="s">
        <v>164</v>
      </c>
      <c r="B86" s="15">
        <v>46195</v>
      </c>
      <c r="C86" t="s">
        <v>718</v>
      </c>
      <c r="D86" s="3" t="s">
        <v>701</v>
      </c>
      <c r="E86" s="2" t="s">
        <v>165</v>
      </c>
      <c r="F86" s="3">
        <v>46190.385474537034</v>
      </c>
      <c r="G86" s="3" t="s">
        <v>718</v>
      </c>
      <c r="H86" t="s">
        <v>759</v>
      </c>
      <c r="I86" t="s">
        <v>701</v>
      </c>
      <c r="J86" s="2" t="s">
        <v>8</v>
      </c>
      <c r="K86" s="2" t="s">
        <v>726</v>
      </c>
      <c r="L86" s="2" t="s">
        <v>79</v>
      </c>
      <c r="M86" s="2" t="s">
        <v>409</v>
      </c>
      <c r="N86" s="2">
        <v>50</v>
      </c>
      <c r="O86" s="2" t="s">
        <v>0</v>
      </c>
      <c r="P86" s="2">
        <v>164669.18</v>
      </c>
      <c r="Q86" s="13">
        <v>8233459</v>
      </c>
      <c r="R86" t="s">
        <v>757</v>
      </c>
    </row>
    <row r="87" spans="1:18" x14ac:dyDescent="0.3">
      <c r="A87" s="2" t="s">
        <v>166</v>
      </c>
      <c r="B87" s="15">
        <v>46195</v>
      </c>
      <c r="C87" t="s">
        <v>718</v>
      </c>
      <c r="D87" s="3" t="s">
        <v>701</v>
      </c>
      <c r="E87" s="2" t="s">
        <v>56</v>
      </c>
      <c r="F87" s="3">
        <v>46070.610231481478</v>
      </c>
      <c r="G87" s="3" t="s">
        <v>691</v>
      </c>
      <c r="H87" t="s">
        <v>759</v>
      </c>
      <c r="I87" t="s">
        <v>699</v>
      </c>
      <c r="J87" s="2" t="s">
        <v>8</v>
      </c>
      <c r="K87" s="2" t="s">
        <v>726</v>
      </c>
      <c r="L87" s="2" t="s">
        <v>79</v>
      </c>
      <c r="M87" s="2" t="s">
        <v>445</v>
      </c>
      <c r="N87" s="2">
        <v>3</v>
      </c>
      <c r="O87" s="2" t="s">
        <v>0</v>
      </c>
      <c r="P87" s="2">
        <v>108249.02</v>
      </c>
      <c r="Q87" s="13">
        <v>324747.06</v>
      </c>
      <c r="R87" t="s">
        <v>757</v>
      </c>
    </row>
    <row r="88" spans="1:18" x14ac:dyDescent="0.3">
      <c r="A88" s="2" t="s">
        <v>167</v>
      </c>
      <c r="B88" s="15">
        <v>46195</v>
      </c>
      <c r="C88" t="s">
        <v>718</v>
      </c>
      <c r="D88" s="3" t="s">
        <v>701</v>
      </c>
      <c r="E88" s="2" t="s">
        <v>66</v>
      </c>
      <c r="F88" s="3">
        <v>46050.615532407413</v>
      </c>
      <c r="G88" s="3" t="s">
        <v>690</v>
      </c>
      <c r="H88" t="s">
        <v>759</v>
      </c>
      <c r="I88" t="s">
        <v>699</v>
      </c>
      <c r="J88" s="2" t="s">
        <v>8</v>
      </c>
      <c r="K88" s="2" t="s">
        <v>726</v>
      </c>
      <c r="L88" s="2" t="s">
        <v>79</v>
      </c>
      <c r="M88" s="2" t="s">
        <v>445</v>
      </c>
      <c r="N88" s="2">
        <v>3</v>
      </c>
      <c r="O88" s="2" t="s">
        <v>0</v>
      </c>
      <c r="P88" s="2">
        <v>121255.74</v>
      </c>
      <c r="Q88" s="13">
        <v>363767.22000000003</v>
      </c>
      <c r="R88" t="s">
        <v>757</v>
      </c>
    </row>
    <row r="89" spans="1:18" x14ac:dyDescent="0.3">
      <c r="A89" s="2" t="s">
        <v>168</v>
      </c>
      <c r="B89" s="15">
        <v>46192</v>
      </c>
      <c r="C89" t="s">
        <v>718</v>
      </c>
      <c r="D89" s="3" t="s">
        <v>701</v>
      </c>
      <c r="E89" s="2" t="s">
        <v>16</v>
      </c>
      <c r="F89" s="3">
        <v>46162.748171296298</v>
      </c>
      <c r="G89" s="3" t="s">
        <v>717</v>
      </c>
      <c r="H89" t="s">
        <v>759</v>
      </c>
      <c r="I89" t="s">
        <v>701</v>
      </c>
      <c r="J89" s="2" t="s">
        <v>2</v>
      </c>
      <c r="K89" s="2" t="s">
        <v>726</v>
      </c>
      <c r="L89" s="2" t="s">
        <v>80</v>
      </c>
      <c r="M89" s="2" t="s">
        <v>447</v>
      </c>
      <c r="N89" s="2">
        <v>1</v>
      </c>
      <c r="O89" s="2" t="s">
        <v>0</v>
      </c>
      <c r="P89" s="2">
        <v>4045916.81</v>
      </c>
      <c r="Q89" s="13">
        <v>4045916.81</v>
      </c>
      <c r="R89" t="s">
        <v>757</v>
      </c>
    </row>
    <row r="90" spans="1:18" x14ac:dyDescent="0.3">
      <c r="A90" s="2" t="s">
        <v>168</v>
      </c>
      <c r="B90" s="15">
        <v>46192</v>
      </c>
      <c r="C90" t="s">
        <v>718</v>
      </c>
      <c r="D90" s="3" t="s">
        <v>701</v>
      </c>
      <c r="E90" s="2" t="s">
        <v>16</v>
      </c>
      <c r="F90" s="3">
        <v>46162.748171296298</v>
      </c>
      <c r="G90" s="3" t="s">
        <v>717</v>
      </c>
      <c r="H90" t="s">
        <v>759</v>
      </c>
      <c r="I90" t="s">
        <v>701</v>
      </c>
      <c r="J90" s="2" t="s">
        <v>2</v>
      </c>
      <c r="K90" s="2" t="s">
        <v>726</v>
      </c>
      <c r="L90" s="2" t="s">
        <v>80</v>
      </c>
      <c r="M90" s="2" t="s">
        <v>417</v>
      </c>
      <c r="N90" s="2">
        <v>6</v>
      </c>
      <c r="O90" s="2" t="s">
        <v>0</v>
      </c>
      <c r="P90" s="2">
        <v>1777500</v>
      </c>
      <c r="Q90" s="13">
        <v>10665000</v>
      </c>
      <c r="R90" t="s">
        <v>757</v>
      </c>
    </row>
    <row r="91" spans="1:18" x14ac:dyDescent="0.3">
      <c r="A91" s="2" t="s">
        <v>168</v>
      </c>
      <c r="B91" s="15">
        <v>46192</v>
      </c>
      <c r="C91" t="s">
        <v>718</v>
      </c>
      <c r="D91" s="3" t="s">
        <v>701</v>
      </c>
      <c r="E91" s="2" t="s">
        <v>16</v>
      </c>
      <c r="F91" s="3">
        <v>46162.748171296298</v>
      </c>
      <c r="G91" s="3" t="s">
        <v>717</v>
      </c>
      <c r="H91" t="s">
        <v>759</v>
      </c>
      <c r="I91" t="s">
        <v>701</v>
      </c>
      <c r="J91" s="2" t="s">
        <v>2</v>
      </c>
      <c r="K91" s="2" t="s">
        <v>726</v>
      </c>
      <c r="L91" s="2" t="s">
        <v>80</v>
      </c>
      <c r="M91" s="2" t="s">
        <v>448</v>
      </c>
      <c r="N91" s="2">
        <v>2</v>
      </c>
      <c r="O91" s="2" t="s">
        <v>0</v>
      </c>
      <c r="P91" s="2">
        <v>5135000</v>
      </c>
      <c r="Q91" s="13">
        <v>10270000</v>
      </c>
      <c r="R91" t="s">
        <v>757</v>
      </c>
    </row>
    <row r="92" spans="1:18" x14ac:dyDescent="0.3">
      <c r="A92" s="2" t="s">
        <v>169</v>
      </c>
      <c r="B92" s="15">
        <v>46192</v>
      </c>
      <c r="C92" t="s">
        <v>718</v>
      </c>
      <c r="D92" s="3" t="s">
        <v>701</v>
      </c>
      <c r="E92" s="2" t="s">
        <v>15</v>
      </c>
      <c r="F92" s="3">
        <v>46162.748900462961</v>
      </c>
      <c r="G92" s="3" t="s">
        <v>717</v>
      </c>
      <c r="H92" t="s">
        <v>759</v>
      </c>
      <c r="I92" t="s">
        <v>701</v>
      </c>
      <c r="J92" s="2" t="s">
        <v>2</v>
      </c>
      <c r="K92" s="2" t="s">
        <v>726</v>
      </c>
      <c r="L92" s="2" t="s">
        <v>80</v>
      </c>
      <c r="M92" s="2" t="s">
        <v>417</v>
      </c>
      <c r="N92" s="2">
        <v>3</v>
      </c>
      <c r="O92" s="2" t="s">
        <v>0</v>
      </c>
      <c r="P92" s="2">
        <v>1777500</v>
      </c>
      <c r="Q92" s="13">
        <v>5332500</v>
      </c>
      <c r="R92" t="s">
        <v>757</v>
      </c>
    </row>
    <row r="93" spans="1:18" x14ac:dyDescent="0.3">
      <c r="A93" s="2" t="s">
        <v>169</v>
      </c>
      <c r="B93" s="15">
        <v>46192</v>
      </c>
      <c r="C93" t="s">
        <v>718</v>
      </c>
      <c r="D93" s="3" t="s">
        <v>701</v>
      </c>
      <c r="E93" s="2" t="s">
        <v>15</v>
      </c>
      <c r="F93" s="3">
        <v>46162.748900462961</v>
      </c>
      <c r="G93" s="3" t="s">
        <v>717</v>
      </c>
      <c r="H93" t="s">
        <v>759</v>
      </c>
      <c r="I93" t="s">
        <v>701</v>
      </c>
      <c r="J93" s="2" t="s">
        <v>2</v>
      </c>
      <c r="K93" s="2" t="s">
        <v>726</v>
      </c>
      <c r="L93" s="2" t="s">
        <v>80</v>
      </c>
      <c r="M93" s="2" t="s">
        <v>448</v>
      </c>
      <c r="N93" s="2">
        <v>1</v>
      </c>
      <c r="O93" s="2" t="s">
        <v>0</v>
      </c>
      <c r="P93" s="2">
        <v>5135000</v>
      </c>
      <c r="Q93" s="13">
        <v>5135000</v>
      </c>
      <c r="R93" t="s">
        <v>757</v>
      </c>
    </row>
    <row r="94" spans="1:18" x14ac:dyDescent="0.3">
      <c r="A94" s="2" t="s">
        <v>170</v>
      </c>
      <c r="B94" s="15">
        <v>46192</v>
      </c>
      <c r="C94" t="s">
        <v>718</v>
      </c>
      <c r="D94" s="3" t="s">
        <v>701</v>
      </c>
      <c r="E94" s="2" t="s">
        <v>15</v>
      </c>
      <c r="F94" s="3">
        <v>46162.748900462961</v>
      </c>
      <c r="G94" s="3" t="s">
        <v>717</v>
      </c>
      <c r="H94" t="s">
        <v>759</v>
      </c>
      <c r="I94" t="s">
        <v>701</v>
      </c>
      <c r="J94" s="2" t="s">
        <v>2</v>
      </c>
      <c r="K94" s="2" t="s">
        <v>726</v>
      </c>
      <c r="L94" s="2" t="s">
        <v>80</v>
      </c>
      <c r="M94" s="2" t="s">
        <v>447</v>
      </c>
      <c r="N94" s="2">
        <v>1</v>
      </c>
      <c r="O94" s="2" t="s">
        <v>0</v>
      </c>
      <c r="P94" s="2">
        <v>4045905.88</v>
      </c>
      <c r="Q94" s="13">
        <v>4045905.88</v>
      </c>
      <c r="R94" t="s">
        <v>757</v>
      </c>
    </row>
    <row r="95" spans="1:18" x14ac:dyDescent="0.3">
      <c r="A95" s="2" t="s">
        <v>170</v>
      </c>
      <c r="B95" s="15">
        <v>46192</v>
      </c>
      <c r="C95" t="s">
        <v>718</v>
      </c>
      <c r="D95" s="3" t="s">
        <v>701</v>
      </c>
      <c r="E95" s="2" t="s">
        <v>15</v>
      </c>
      <c r="F95" s="3">
        <v>46162.748900462961</v>
      </c>
      <c r="G95" s="3" t="s">
        <v>717</v>
      </c>
      <c r="H95" t="s">
        <v>759</v>
      </c>
      <c r="I95" t="s">
        <v>701</v>
      </c>
      <c r="J95" s="2" t="s">
        <v>2</v>
      </c>
      <c r="K95" s="2" t="s">
        <v>726</v>
      </c>
      <c r="L95" s="2" t="s">
        <v>80</v>
      </c>
      <c r="M95" s="2" t="s">
        <v>449</v>
      </c>
      <c r="N95" s="2">
        <v>1</v>
      </c>
      <c r="O95" s="2" t="s">
        <v>0</v>
      </c>
      <c r="P95" s="2">
        <v>1540500</v>
      </c>
      <c r="Q95" s="13">
        <v>1540500</v>
      </c>
      <c r="R95" t="s">
        <v>757</v>
      </c>
    </row>
    <row r="96" spans="1:18" x14ac:dyDescent="0.3">
      <c r="A96" s="2" t="s">
        <v>171</v>
      </c>
      <c r="B96" s="15">
        <v>46189</v>
      </c>
      <c r="C96" t="s">
        <v>718</v>
      </c>
      <c r="D96" s="3" t="s">
        <v>701</v>
      </c>
      <c r="E96" s="2" t="s">
        <v>123</v>
      </c>
      <c r="F96" s="3">
        <v>46184.710844907408</v>
      </c>
      <c r="G96" s="3" t="s">
        <v>718</v>
      </c>
      <c r="H96" t="s">
        <v>759</v>
      </c>
      <c r="I96" t="s">
        <v>701</v>
      </c>
      <c r="J96" s="2" t="s">
        <v>8</v>
      </c>
      <c r="K96" s="2" t="s">
        <v>726</v>
      </c>
      <c r="L96" s="2" t="s">
        <v>90</v>
      </c>
      <c r="M96" s="2" t="s">
        <v>450</v>
      </c>
      <c r="N96" s="2">
        <v>96</v>
      </c>
      <c r="O96" s="2" t="s">
        <v>0</v>
      </c>
      <c r="P96" s="2">
        <v>81191.95</v>
      </c>
      <c r="Q96" s="13">
        <v>7794427.1999999993</v>
      </c>
      <c r="R96" t="s">
        <v>757</v>
      </c>
    </row>
    <row r="97" spans="1:18" x14ac:dyDescent="0.3">
      <c r="A97" s="2" t="s">
        <v>171</v>
      </c>
      <c r="B97" s="15">
        <v>46189</v>
      </c>
      <c r="C97" t="s">
        <v>718</v>
      </c>
      <c r="D97" s="3" t="s">
        <v>701</v>
      </c>
      <c r="E97" s="2" t="s">
        <v>123</v>
      </c>
      <c r="F97" s="3">
        <v>46184.710844907408</v>
      </c>
      <c r="G97" s="3" t="s">
        <v>718</v>
      </c>
      <c r="H97" t="s">
        <v>759</v>
      </c>
      <c r="I97" t="s">
        <v>701</v>
      </c>
      <c r="J97" s="2" t="s">
        <v>8</v>
      </c>
      <c r="K97" s="2" t="s">
        <v>726</v>
      </c>
      <c r="L97" s="2" t="s">
        <v>90</v>
      </c>
      <c r="M97" s="2" t="s">
        <v>404</v>
      </c>
      <c r="N97" s="2">
        <v>28</v>
      </c>
      <c r="O97" s="2" t="s">
        <v>0</v>
      </c>
      <c r="P97" s="2">
        <v>19394.3</v>
      </c>
      <c r="Q97" s="13">
        <v>543040.4</v>
      </c>
      <c r="R97" t="s">
        <v>757</v>
      </c>
    </row>
    <row r="98" spans="1:18" x14ac:dyDescent="0.3">
      <c r="A98" s="2" t="s">
        <v>171</v>
      </c>
      <c r="B98" s="15">
        <v>46189</v>
      </c>
      <c r="C98" t="s">
        <v>718</v>
      </c>
      <c r="D98" s="3" t="s">
        <v>701</v>
      </c>
      <c r="E98" s="2" t="s">
        <v>123</v>
      </c>
      <c r="F98" s="3">
        <v>46184.710844907408</v>
      </c>
      <c r="G98" s="3" t="s">
        <v>718</v>
      </c>
      <c r="H98" t="s">
        <v>759</v>
      </c>
      <c r="I98" t="s">
        <v>701</v>
      </c>
      <c r="J98" s="2" t="s">
        <v>8</v>
      </c>
      <c r="K98" s="2" t="s">
        <v>726</v>
      </c>
      <c r="L98" s="2" t="s">
        <v>88</v>
      </c>
      <c r="M98" s="2" t="s">
        <v>451</v>
      </c>
      <c r="N98" s="2">
        <v>29</v>
      </c>
      <c r="O98" s="2" t="s">
        <v>0</v>
      </c>
      <c r="P98" s="2">
        <v>572444.89</v>
      </c>
      <c r="Q98" s="13">
        <v>16600901.810000001</v>
      </c>
      <c r="R98" t="s">
        <v>757</v>
      </c>
    </row>
    <row r="99" spans="1:18" x14ac:dyDescent="0.3">
      <c r="A99" s="2" t="s">
        <v>171</v>
      </c>
      <c r="B99" s="15">
        <v>46189</v>
      </c>
      <c r="C99" t="s">
        <v>718</v>
      </c>
      <c r="D99" s="3" t="s">
        <v>701</v>
      </c>
      <c r="E99" s="2" t="s">
        <v>123</v>
      </c>
      <c r="F99" s="3">
        <v>46184.710844907408</v>
      </c>
      <c r="G99" s="3" t="s">
        <v>718</v>
      </c>
      <c r="H99" t="s">
        <v>759</v>
      </c>
      <c r="I99" t="s">
        <v>701</v>
      </c>
      <c r="J99" s="2" t="s">
        <v>8</v>
      </c>
      <c r="K99" s="2" t="s">
        <v>726</v>
      </c>
      <c r="L99" s="2" t="s">
        <v>84</v>
      </c>
      <c r="M99" s="2" t="s">
        <v>452</v>
      </c>
      <c r="N99" s="2">
        <v>100</v>
      </c>
      <c r="O99" s="2" t="s">
        <v>0</v>
      </c>
      <c r="P99" s="2">
        <v>10357.5</v>
      </c>
      <c r="Q99" s="13">
        <v>1035750</v>
      </c>
      <c r="R99" t="s">
        <v>757</v>
      </c>
    </row>
    <row r="100" spans="1:18" x14ac:dyDescent="0.3">
      <c r="A100" s="2" t="s">
        <v>171</v>
      </c>
      <c r="B100" s="15">
        <v>46189</v>
      </c>
      <c r="C100" t="s">
        <v>718</v>
      </c>
      <c r="D100" s="3" t="s">
        <v>701</v>
      </c>
      <c r="E100" s="2" t="s">
        <v>123</v>
      </c>
      <c r="F100" s="3">
        <v>46184.710844907408</v>
      </c>
      <c r="G100" s="3" t="s">
        <v>718</v>
      </c>
      <c r="H100" t="s">
        <v>759</v>
      </c>
      <c r="I100" t="s">
        <v>701</v>
      </c>
      <c r="J100" s="2" t="s">
        <v>8</v>
      </c>
      <c r="K100" s="2" t="s">
        <v>726</v>
      </c>
      <c r="L100" s="2" t="s">
        <v>84</v>
      </c>
      <c r="M100" s="2" t="s">
        <v>453</v>
      </c>
      <c r="N100" s="2">
        <v>110</v>
      </c>
      <c r="O100" s="2" t="s">
        <v>0</v>
      </c>
      <c r="P100" s="2">
        <v>14180.75</v>
      </c>
      <c r="Q100" s="13">
        <v>1559882.5</v>
      </c>
      <c r="R100" t="s">
        <v>757</v>
      </c>
    </row>
    <row r="101" spans="1:18" x14ac:dyDescent="0.3">
      <c r="A101" s="2" t="s">
        <v>171</v>
      </c>
      <c r="B101" s="15">
        <v>46189</v>
      </c>
      <c r="C101" t="s">
        <v>718</v>
      </c>
      <c r="D101" s="3" t="s">
        <v>701</v>
      </c>
      <c r="E101" s="2" t="s">
        <v>123</v>
      </c>
      <c r="F101" s="3">
        <v>46184.710844907408</v>
      </c>
      <c r="G101" s="3" t="s">
        <v>718</v>
      </c>
      <c r="H101" t="s">
        <v>759</v>
      </c>
      <c r="I101" t="s">
        <v>701</v>
      </c>
      <c r="J101" s="2" t="s">
        <v>8</v>
      </c>
      <c r="K101" s="2" t="s">
        <v>726</v>
      </c>
      <c r="L101" s="2" t="s">
        <v>79</v>
      </c>
      <c r="M101" s="2" t="s">
        <v>430</v>
      </c>
      <c r="N101" s="2">
        <v>19</v>
      </c>
      <c r="O101" s="2" t="s">
        <v>0</v>
      </c>
      <c r="P101" s="2">
        <v>87100.55</v>
      </c>
      <c r="Q101" s="13">
        <v>1654910.45</v>
      </c>
      <c r="R101" t="s">
        <v>757</v>
      </c>
    </row>
    <row r="102" spans="1:18" x14ac:dyDescent="0.3">
      <c r="A102" s="2" t="s">
        <v>171</v>
      </c>
      <c r="B102" s="15">
        <v>46189</v>
      </c>
      <c r="C102" t="s">
        <v>718</v>
      </c>
      <c r="D102" s="3" t="s">
        <v>701</v>
      </c>
      <c r="E102" s="2" t="s">
        <v>123</v>
      </c>
      <c r="F102" s="3">
        <v>46184.710844907408</v>
      </c>
      <c r="G102" s="3" t="s">
        <v>718</v>
      </c>
      <c r="H102" t="s">
        <v>759</v>
      </c>
      <c r="I102" t="s">
        <v>701</v>
      </c>
      <c r="J102" s="2" t="s">
        <v>8</v>
      </c>
      <c r="K102" s="2" t="s">
        <v>726</v>
      </c>
      <c r="L102" s="2" t="s">
        <v>90</v>
      </c>
      <c r="M102" s="2" t="s">
        <v>431</v>
      </c>
      <c r="N102" s="2">
        <v>5</v>
      </c>
      <c r="O102" s="2" t="s">
        <v>0</v>
      </c>
      <c r="P102" s="2">
        <v>343467.05</v>
      </c>
      <c r="Q102" s="13">
        <v>1717335.25</v>
      </c>
      <c r="R102" t="s">
        <v>757</v>
      </c>
    </row>
    <row r="103" spans="1:18" x14ac:dyDescent="0.3">
      <c r="A103" s="2" t="s">
        <v>171</v>
      </c>
      <c r="B103" s="15">
        <v>46189</v>
      </c>
      <c r="C103" t="s">
        <v>718</v>
      </c>
      <c r="D103" s="3" t="s">
        <v>701</v>
      </c>
      <c r="E103" s="2" t="s">
        <v>123</v>
      </c>
      <c r="F103" s="3">
        <v>46184.710844907408</v>
      </c>
      <c r="G103" s="3" t="s">
        <v>718</v>
      </c>
      <c r="H103" t="s">
        <v>759</v>
      </c>
      <c r="I103" t="s">
        <v>701</v>
      </c>
      <c r="J103" s="2" t="s">
        <v>8</v>
      </c>
      <c r="K103" s="2" t="s">
        <v>726</v>
      </c>
      <c r="L103" s="2" t="s">
        <v>79</v>
      </c>
      <c r="M103" s="2" t="s">
        <v>454</v>
      </c>
      <c r="N103" s="2">
        <v>19</v>
      </c>
      <c r="O103" s="2" t="s">
        <v>0</v>
      </c>
      <c r="P103" s="2">
        <v>81643.789999999994</v>
      </c>
      <c r="Q103" s="13">
        <v>1551232.0099999998</v>
      </c>
      <c r="R103" t="s">
        <v>757</v>
      </c>
    </row>
    <row r="104" spans="1:18" x14ac:dyDescent="0.3">
      <c r="A104" s="2" t="s">
        <v>171</v>
      </c>
      <c r="B104" s="15">
        <v>46189</v>
      </c>
      <c r="C104" t="s">
        <v>718</v>
      </c>
      <c r="D104" s="3" t="s">
        <v>701</v>
      </c>
      <c r="E104" s="2" t="s">
        <v>123</v>
      </c>
      <c r="F104" s="3">
        <v>46184.710844907408</v>
      </c>
      <c r="G104" s="3" t="s">
        <v>718</v>
      </c>
      <c r="H104" t="s">
        <v>759</v>
      </c>
      <c r="I104" t="s">
        <v>701</v>
      </c>
      <c r="J104" s="2" t="s">
        <v>8</v>
      </c>
      <c r="K104" s="2" t="s">
        <v>726</v>
      </c>
      <c r="L104" s="2" t="s">
        <v>79</v>
      </c>
      <c r="M104" s="2" t="s">
        <v>455</v>
      </c>
      <c r="N104" s="2">
        <v>28</v>
      </c>
      <c r="O104" s="2" t="s">
        <v>0</v>
      </c>
      <c r="P104" s="2">
        <v>124811.7</v>
      </c>
      <c r="Q104" s="13">
        <v>3494727.6</v>
      </c>
      <c r="R104" t="s">
        <v>757</v>
      </c>
    </row>
    <row r="105" spans="1:18" x14ac:dyDescent="0.3">
      <c r="A105" s="2" t="s">
        <v>171</v>
      </c>
      <c r="B105" s="15">
        <v>46189</v>
      </c>
      <c r="C105" t="s">
        <v>718</v>
      </c>
      <c r="D105" s="3" t="s">
        <v>701</v>
      </c>
      <c r="E105" s="2" t="s">
        <v>123</v>
      </c>
      <c r="F105" s="3">
        <v>46184.710844907408</v>
      </c>
      <c r="G105" s="3" t="s">
        <v>718</v>
      </c>
      <c r="H105" t="s">
        <v>759</v>
      </c>
      <c r="I105" t="s">
        <v>701</v>
      </c>
      <c r="J105" s="2" t="s">
        <v>8</v>
      </c>
      <c r="K105" s="2" t="s">
        <v>726</v>
      </c>
      <c r="L105" s="2" t="s">
        <v>79</v>
      </c>
      <c r="M105" s="2" t="s">
        <v>456</v>
      </c>
      <c r="N105" s="2">
        <v>168</v>
      </c>
      <c r="O105" s="2" t="s">
        <v>0</v>
      </c>
      <c r="P105" s="2">
        <v>17204.599999999999</v>
      </c>
      <c r="Q105" s="13">
        <v>2890372.8</v>
      </c>
      <c r="R105" t="s">
        <v>757</v>
      </c>
    </row>
    <row r="106" spans="1:18" x14ac:dyDescent="0.3">
      <c r="A106" s="2" t="s">
        <v>171</v>
      </c>
      <c r="B106" s="15">
        <v>46189</v>
      </c>
      <c r="C106" t="s">
        <v>718</v>
      </c>
      <c r="D106" s="3" t="s">
        <v>701</v>
      </c>
      <c r="E106" s="2" t="s">
        <v>123</v>
      </c>
      <c r="F106" s="3">
        <v>46184.710844907408</v>
      </c>
      <c r="G106" s="3" t="s">
        <v>718</v>
      </c>
      <c r="H106" t="s">
        <v>759</v>
      </c>
      <c r="I106" t="s">
        <v>701</v>
      </c>
      <c r="J106" s="2" t="s">
        <v>8</v>
      </c>
      <c r="K106" s="2" t="s">
        <v>726</v>
      </c>
      <c r="L106" s="2" t="s">
        <v>83</v>
      </c>
      <c r="M106" s="2" t="s">
        <v>457</v>
      </c>
      <c r="N106" s="2">
        <v>28</v>
      </c>
      <c r="O106" s="2" t="s">
        <v>0</v>
      </c>
      <c r="P106" s="2">
        <v>45844.2</v>
      </c>
      <c r="Q106" s="13">
        <v>1283637.5999999999</v>
      </c>
      <c r="R106" t="s">
        <v>757</v>
      </c>
    </row>
    <row r="107" spans="1:18" x14ac:dyDescent="0.3">
      <c r="A107" s="2" t="s">
        <v>171</v>
      </c>
      <c r="B107" s="15">
        <v>46189</v>
      </c>
      <c r="C107" t="s">
        <v>718</v>
      </c>
      <c r="D107" s="3" t="s">
        <v>701</v>
      </c>
      <c r="E107" s="2" t="s">
        <v>123</v>
      </c>
      <c r="F107" s="3">
        <v>46184.710844907408</v>
      </c>
      <c r="G107" s="3" t="s">
        <v>718</v>
      </c>
      <c r="H107" t="s">
        <v>759</v>
      </c>
      <c r="I107" t="s">
        <v>701</v>
      </c>
      <c r="J107" s="2" t="s">
        <v>8</v>
      </c>
      <c r="K107" s="2" t="s">
        <v>726</v>
      </c>
      <c r="L107" s="2" t="s">
        <v>79</v>
      </c>
      <c r="M107" s="2" t="s">
        <v>458</v>
      </c>
      <c r="N107" s="2">
        <v>28</v>
      </c>
      <c r="O107" s="2" t="s">
        <v>0</v>
      </c>
      <c r="P107" s="2">
        <v>107502.85</v>
      </c>
      <c r="Q107" s="13">
        <v>3010079.8000000003</v>
      </c>
      <c r="R107" t="s">
        <v>757</v>
      </c>
    </row>
    <row r="108" spans="1:18" x14ac:dyDescent="0.3">
      <c r="A108" s="2" t="s">
        <v>171</v>
      </c>
      <c r="B108" s="15">
        <v>46189</v>
      </c>
      <c r="C108" t="s">
        <v>718</v>
      </c>
      <c r="D108" s="3" t="s">
        <v>701</v>
      </c>
      <c r="E108" s="2" t="s">
        <v>123</v>
      </c>
      <c r="F108" s="3">
        <v>46184.710844907408</v>
      </c>
      <c r="G108" s="3" t="s">
        <v>718</v>
      </c>
      <c r="H108" t="s">
        <v>759</v>
      </c>
      <c r="I108" t="s">
        <v>701</v>
      </c>
      <c r="J108" s="2" t="s">
        <v>8</v>
      </c>
      <c r="K108" s="2" t="s">
        <v>726</v>
      </c>
      <c r="L108" s="2" t="s">
        <v>83</v>
      </c>
      <c r="M108" s="2" t="s">
        <v>459</v>
      </c>
      <c r="N108" s="2">
        <v>4000</v>
      </c>
      <c r="O108" s="2" t="s">
        <v>0</v>
      </c>
      <c r="P108" s="2">
        <v>5769.64</v>
      </c>
      <c r="Q108" s="13">
        <v>23078560</v>
      </c>
      <c r="R108" t="s">
        <v>757</v>
      </c>
    </row>
    <row r="109" spans="1:18" x14ac:dyDescent="0.3">
      <c r="A109" s="2" t="s">
        <v>171</v>
      </c>
      <c r="B109" s="15">
        <v>46189</v>
      </c>
      <c r="C109" t="s">
        <v>718</v>
      </c>
      <c r="D109" s="3" t="s">
        <v>701</v>
      </c>
      <c r="E109" s="2" t="s">
        <v>123</v>
      </c>
      <c r="F109" s="3">
        <v>46184.710844907408</v>
      </c>
      <c r="G109" s="3" t="s">
        <v>718</v>
      </c>
      <c r="H109" t="s">
        <v>759</v>
      </c>
      <c r="I109" t="s">
        <v>701</v>
      </c>
      <c r="J109" s="2" t="s">
        <v>8</v>
      </c>
      <c r="K109" s="2" t="s">
        <v>726</v>
      </c>
      <c r="L109" s="2" t="s">
        <v>90</v>
      </c>
      <c r="M109" s="2" t="s">
        <v>460</v>
      </c>
      <c r="N109" s="2">
        <v>8</v>
      </c>
      <c r="O109" s="2" t="s">
        <v>0</v>
      </c>
      <c r="P109" s="2">
        <v>19394.2</v>
      </c>
      <c r="Q109" s="13">
        <v>155153.60000000001</v>
      </c>
      <c r="R109" t="s">
        <v>757</v>
      </c>
    </row>
    <row r="110" spans="1:18" x14ac:dyDescent="0.3">
      <c r="A110" s="2" t="s">
        <v>173</v>
      </c>
      <c r="B110" s="15">
        <v>46189</v>
      </c>
      <c r="C110" t="s">
        <v>718</v>
      </c>
      <c r="D110" s="3" t="s">
        <v>701</v>
      </c>
      <c r="E110" s="2" t="s">
        <v>174</v>
      </c>
      <c r="F110" s="3">
        <v>46176.379201388889</v>
      </c>
      <c r="G110" s="3" t="s">
        <v>718</v>
      </c>
      <c r="H110" t="s">
        <v>759</v>
      </c>
      <c r="I110" t="s">
        <v>701</v>
      </c>
      <c r="J110" s="2" t="s">
        <v>8</v>
      </c>
      <c r="K110" s="2" t="s">
        <v>726</v>
      </c>
      <c r="L110" s="2" t="s">
        <v>79</v>
      </c>
      <c r="M110" s="2" t="s">
        <v>428</v>
      </c>
      <c r="N110" s="2">
        <v>10</v>
      </c>
      <c r="O110" s="2" t="s">
        <v>0</v>
      </c>
      <c r="P110" s="2">
        <v>3684.29</v>
      </c>
      <c r="Q110" s="13">
        <v>36842.9</v>
      </c>
      <c r="R110" t="s">
        <v>757</v>
      </c>
    </row>
    <row r="111" spans="1:18" x14ac:dyDescent="0.3">
      <c r="A111" s="2" t="s">
        <v>173</v>
      </c>
      <c r="B111" s="15">
        <v>46189</v>
      </c>
      <c r="C111" t="s">
        <v>718</v>
      </c>
      <c r="D111" s="3" t="s">
        <v>701</v>
      </c>
      <c r="E111" s="2" t="s">
        <v>174</v>
      </c>
      <c r="F111" s="3">
        <v>46176.379201388889</v>
      </c>
      <c r="G111" s="3" t="s">
        <v>718</v>
      </c>
      <c r="H111" t="s">
        <v>759</v>
      </c>
      <c r="I111" t="s">
        <v>701</v>
      </c>
      <c r="J111" s="2" t="s">
        <v>8</v>
      </c>
      <c r="K111" s="2" t="s">
        <v>726</v>
      </c>
      <c r="L111" s="2" t="s">
        <v>79</v>
      </c>
      <c r="M111" s="2" t="s">
        <v>429</v>
      </c>
      <c r="N111" s="2">
        <v>16</v>
      </c>
      <c r="O111" s="2" t="s">
        <v>0</v>
      </c>
      <c r="P111" s="2">
        <v>3510.5</v>
      </c>
      <c r="Q111" s="13">
        <v>56168</v>
      </c>
      <c r="R111" t="s">
        <v>757</v>
      </c>
    </row>
    <row r="112" spans="1:18" x14ac:dyDescent="0.3">
      <c r="A112" s="2" t="s">
        <v>173</v>
      </c>
      <c r="B112" s="15">
        <v>46189</v>
      </c>
      <c r="C112" t="s">
        <v>718</v>
      </c>
      <c r="D112" s="3" t="s">
        <v>701</v>
      </c>
      <c r="E112" s="2" t="s">
        <v>174</v>
      </c>
      <c r="F112" s="3">
        <v>46176.379201388889</v>
      </c>
      <c r="G112" s="3" t="s">
        <v>718</v>
      </c>
      <c r="H112" t="s">
        <v>759</v>
      </c>
      <c r="I112" t="s">
        <v>701</v>
      </c>
      <c r="J112" s="2" t="s">
        <v>8</v>
      </c>
      <c r="K112" s="2" t="s">
        <v>726</v>
      </c>
      <c r="L112" s="2" t="s">
        <v>84</v>
      </c>
      <c r="M112" s="2" t="s">
        <v>461</v>
      </c>
      <c r="N112" s="2">
        <v>5</v>
      </c>
      <c r="O112" s="2" t="s">
        <v>0</v>
      </c>
      <c r="P112" s="2">
        <v>19429.41</v>
      </c>
      <c r="Q112" s="13">
        <v>97147.05</v>
      </c>
      <c r="R112" t="s">
        <v>757</v>
      </c>
    </row>
    <row r="113" spans="1:18" x14ac:dyDescent="0.3">
      <c r="A113" s="2" t="s">
        <v>173</v>
      </c>
      <c r="B113" s="15">
        <v>46189</v>
      </c>
      <c r="C113" t="s">
        <v>718</v>
      </c>
      <c r="D113" s="3" t="s">
        <v>701</v>
      </c>
      <c r="E113" s="2" t="s">
        <v>174</v>
      </c>
      <c r="F113" s="3">
        <v>46176.379201388889</v>
      </c>
      <c r="G113" s="3" t="s">
        <v>718</v>
      </c>
      <c r="H113" t="s">
        <v>759</v>
      </c>
      <c r="I113" t="s">
        <v>701</v>
      </c>
      <c r="J113" s="2" t="s">
        <v>8</v>
      </c>
      <c r="K113" s="2" t="s">
        <v>726</v>
      </c>
      <c r="L113" s="2" t="s">
        <v>84</v>
      </c>
      <c r="M113" s="2" t="s">
        <v>462</v>
      </c>
      <c r="N113" s="2">
        <v>5</v>
      </c>
      <c r="O113" s="2" t="s">
        <v>0</v>
      </c>
      <c r="P113" s="2">
        <v>24504.04</v>
      </c>
      <c r="Q113" s="13">
        <v>122520.20000000001</v>
      </c>
      <c r="R113" t="s">
        <v>757</v>
      </c>
    </row>
    <row r="114" spans="1:18" x14ac:dyDescent="0.3">
      <c r="A114" s="2" t="s">
        <v>175</v>
      </c>
      <c r="B114" s="15">
        <v>46189</v>
      </c>
      <c r="C114" t="s">
        <v>718</v>
      </c>
      <c r="D114" s="3" t="s">
        <v>701</v>
      </c>
      <c r="E114" s="2" t="s">
        <v>176</v>
      </c>
      <c r="F114" s="3">
        <v>46182.693749999999</v>
      </c>
      <c r="G114" s="3" t="s">
        <v>718</v>
      </c>
      <c r="H114" t="s">
        <v>759</v>
      </c>
      <c r="I114" t="s">
        <v>701</v>
      </c>
      <c r="J114" s="2" t="s">
        <v>8</v>
      </c>
      <c r="K114" s="2" t="s">
        <v>726</v>
      </c>
      <c r="L114" s="2" t="s">
        <v>90</v>
      </c>
      <c r="M114" s="2" t="s">
        <v>389</v>
      </c>
      <c r="N114" s="2">
        <v>1</v>
      </c>
      <c r="O114" s="2" t="s">
        <v>0</v>
      </c>
      <c r="P114" s="2">
        <v>908010.92</v>
      </c>
      <c r="Q114" s="13">
        <v>908010.92</v>
      </c>
      <c r="R114" t="s">
        <v>757</v>
      </c>
    </row>
    <row r="115" spans="1:18" x14ac:dyDescent="0.3">
      <c r="A115" s="2" t="s">
        <v>175</v>
      </c>
      <c r="B115" s="15">
        <v>46189</v>
      </c>
      <c r="C115" t="s">
        <v>718</v>
      </c>
      <c r="D115" s="3" t="s">
        <v>701</v>
      </c>
      <c r="E115" s="2" t="s">
        <v>176</v>
      </c>
      <c r="F115" s="3">
        <v>46182.693749999999</v>
      </c>
      <c r="G115" s="3" t="s">
        <v>718</v>
      </c>
      <c r="H115" t="s">
        <v>759</v>
      </c>
      <c r="I115" t="s">
        <v>701</v>
      </c>
      <c r="J115" s="2" t="s">
        <v>8</v>
      </c>
      <c r="K115" s="2" t="s">
        <v>726</v>
      </c>
      <c r="L115" s="2" t="s">
        <v>79</v>
      </c>
      <c r="M115" s="2" t="s">
        <v>463</v>
      </c>
      <c r="N115" s="2">
        <v>1</v>
      </c>
      <c r="O115" s="2" t="s">
        <v>0</v>
      </c>
      <c r="P115" s="2">
        <v>169514.29</v>
      </c>
      <c r="Q115" s="13">
        <v>169514.29</v>
      </c>
      <c r="R115" t="s">
        <v>757</v>
      </c>
    </row>
    <row r="116" spans="1:18" x14ac:dyDescent="0.3">
      <c r="A116" s="2" t="s">
        <v>177</v>
      </c>
      <c r="B116" s="15">
        <v>46189</v>
      </c>
      <c r="C116" t="s">
        <v>718</v>
      </c>
      <c r="D116" s="3" t="s">
        <v>701</v>
      </c>
      <c r="E116" s="2" t="s">
        <v>140</v>
      </c>
      <c r="F116" s="3">
        <v>46171.654178240737</v>
      </c>
      <c r="G116" s="3" t="s">
        <v>717</v>
      </c>
      <c r="H116" t="s">
        <v>759</v>
      </c>
      <c r="I116" t="s">
        <v>701</v>
      </c>
      <c r="J116" s="2" t="s">
        <v>1</v>
      </c>
      <c r="K116" s="2" t="s">
        <v>1</v>
      </c>
      <c r="L116" s="2"/>
      <c r="M116" s="2" t="s">
        <v>426</v>
      </c>
      <c r="N116" s="2">
        <v>448</v>
      </c>
      <c r="O116" s="2" t="s">
        <v>0</v>
      </c>
      <c r="P116" s="2">
        <v>62034</v>
      </c>
      <c r="Q116" s="13">
        <v>27791232</v>
      </c>
      <c r="R116" t="s">
        <v>757</v>
      </c>
    </row>
    <row r="117" spans="1:18" x14ac:dyDescent="0.3">
      <c r="A117" s="2" t="s">
        <v>178</v>
      </c>
      <c r="B117" s="15">
        <v>46185</v>
      </c>
      <c r="C117" t="s">
        <v>718</v>
      </c>
      <c r="D117" s="3" t="s">
        <v>701</v>
      </c>
      <c r="E117" s="2" t="s">
        <v>15</v>
      </c>
      <c r="F117" s="3">
        <v>46162.748900462961</v>
      </c>
      <c r="G117" s="3" t="s">
        <v>717</v>
      </c>
      <c r="H117" t="s">
        <v>759</v>
      </c>
      <c r="I117" t="s">
        <v>701</v>
      </c>
      <c r="J117" s="2" t="s">
        <v>2</v>
      </c>
      <c r="K117" s="2" t="s">
        <v>726</v>
      </c>
      <c r="L117" s="2" t="s">
        <v>80</v>
      </c>
      <c r="M117" s="2" t="s">
        <v>425</v>
      </c>
      <c r="N117" s="2">
        <v>3</v>
      </c>
      <c r="O117" s="2" t="s">
        <v>0</v>
      </c>
      <c r="P117" s="2">
        <v>33387059.100000001</v>
      </c>
      <c r="Q117" s="13">
        <v>100161177.30000001</v>
      </c>
      <c r="R117" t="s">
        <v>757</v>
      </c>
    </row>
    <row r="118" spans="1:18" x14ac:dyDescent="0.3">
      <c r="A118" s="2" t="s">
        <v>179</v>
      </c>
      <c r="B118" s="15">
        <v>46185</v>
      </c>
      <c r="C118" t="s">
        <v>718</v>
      </c>
      <c r="D118" s="3" t="s">
        <v>701</v>
      </c>
      <c r="E118" s="2" t="s">
        <v>69</v>
      </c>
      <c r="F118" s="3">
        <v>46050.437291666669</v>
      </c>
      <c r="G118" s="3" t="s">
        <v>690</v>
      </c>
      <c r="H118" t="s">
        <v>759</v>
      </c>
      <c r="I118" t="s">
        <v>699</v>
      </c>
      <c r="J118" s="2" t="s">
        <v>2</v>
      </c>
      <c r="K118" s="2" t="s">
        <v>726</v>
      </c>
      <c r="L118" s="2" t="s">
        <v>80</v>
      </c>
      <c r="M118" s="2" t="s">
        <v>425</v>
      </c>
      <c r="N118" s="2">
        <v>4</v>
      </c>
      <c r="O118" s="2" t="s">
        <v>0</v>
      </c>
      <c r="P118" s="2">
        <v>25791238.030000001</v>
      </c>
      <c r="Q118" s="13">
        <v>103164952.12</v>
      </c>
      <c r="R118" t="s">
        <v>757</v>
      </c>
    </row>
    <row r="119" spans="1:18" x14ac:dyDescent="0.3">
      <c r="A119" s="2" t="s">
        <v>181</v>
      </c>
      <c r="B119" s="15">
        <v>46184</v>
      </c>
      <c r="C119" t="s">
        <v>718</v>
      </c>
      <c r="D119" s="3" t="s">
        <v>701</v>
      </c>
      <c r="E119" s="2" t="s">
        <v>22</v>
      </c>
      <c r="F119" s="3">
        <v>46170.666759259257</v>
      </c>
      <c r="G119" s="3" t="s">
        <v>717</v>
      </c>
      <c r="H119" t="s">
        <v>759</v>
      </c>
      <c r="I119" t="s">
        <v>701</v>
      </c>
      <c r="J119" s="2" t="s">
        <v>2</v>
      </c>
      <c r="K119" s="2" t="s">
        <v>726</v>
      </c>
      <c r="L119" s="2" t="s">
        <v>605</v>
      </c>
      <c r="M119" s="2" t="s">
        <v>465</v>
      </c>
      <c r="N119" s="2">
        <v>122</v>
      </c>
      <c r="O119" s="2" t="s">
        <v>0</v>
      </c>
      <c r="P119" s="2">
        <v>3127491.5</v>
      </c>
      <c r="Q119" s="13">
        <v>381553963</v>
      </c>
      <c r="R119" t="s">
        <v>757</v>
      </c>
    </row>
    <row r="120" spans="1:18" x14ac:dyDescent="0.3">
      <c r="A120" s="2" t="s">
        <v>182</v>
      </c>
      <c r="B120" s="15">
        <v>46184</v>
      </c>
      <c r="C120" t="s">
        <v>718</v>
      </c>
      <c r="D120" s="3" t="s">
        <v>701</v>
      </c>
      <c r="E120" s="2" t="s">
        <v>23</v>
      </c>
      <c r="F120" s="3">
        <v>46135.531724537039</v>
      </c>
      <c r="G120" s="3" t="s">
        <v>716</v>
      </c>
      <c r="H120" t="s">
        <v>759</v>
      </c>
      <c r="I120" t="s">
        <v>701</v>
      </c>
      <c r="J120" s="2" t="s">
        <v>2</v>
      </c>
      <c r="K120" s="2" t="s">
        <v>726</v>
      </c>
      <c r="L120" s="2" t="s">
        <v>605</v>
      </c>
      <c r="M120" s="2" t="s">
        <v>465</v>
      </c>
      <c r="N120" s="2">
        <v>29</v>
      </c>
      <c r="O120" s="2" t="s">
        <v>0</v>
      </c>
      <c r="P120" s="2">
        <v>3127491.51</v>
      </c>
      <c r="Q120" s="13">
        <v>90697253.789999992</v>
      </c>
      <c r="R120" t="s">
        <v>757</v>
      </c>
    </row>
    <row r="121" spans="1:18" x14ac:dyDescent="0.3">
      <c r="A121" s="2" t="s">
        <v>183</v>
      </c>
      <c r="B121" s="15">
        <v>46184</v>
      </c>
      <c r="C121" t="s">
        <v>718</v>
      </c>
      <c r="D121" s="3" t="s">
        <v>701</v>
      </c>
      <c r="E121" s="2" t="s">
        <v>22</v>
      </c>
      <c r="F121" s="3">
        <v>46170.666759259257</v>
      </c>
      <c r="G121" s="3" t="s">
        <v>717</v>
      </c>
      <c r="H121" t="s">
        <v>759</v>
      </c>
      <c r="I121" t="s">
        <v>701</v>
      </c>
      <c r="J121" s="2" t="s">
        <v>8</v>
      </c>
      <c r="K121" s="2" t="s">
        <v>726</v>
      </c>
      <c r="L121" s="2" t="s">
        <v>87</v>
      </c>
      <c r="M121" s="2" t="s">
        <v>466</v>
      </c>
      <c r="N121" s="2">
        <v>122</v>
      </c>
      <c r="O121" s="2" t="s">
        <v>0</v>
      </c>
      <c r="P121" s="2">
        <v>298778</v>
      </c>
      <c r="Q121" s="13">
        <v>36450916</v>
      </c>
      <c r="R121" t="s">
        <v>757</v>
      </c>
    </row>
    <row r="122" spans="1:18" x14ac:dyDescent="0.3">
      <c r="A122" s="2" t="s">
        <v>183</v>
      </c>
      <c r="B122" s="15">
        <v>46184</v>
      </c>
      <c r="C122" t="s">
        <v>718</v>
      </c>
      <c r="D122" s="3" t="s">
        <v>701</v>
      </c>
      <c r="E122" s="2" t="s">
        <v>22</v>
      </c>
      <c r="F122" s="3">
        <v>46170.666759259257</v>
      </c>
      <c r="G122" s="3" t="s">
        <v>717</v>
      </c>
      <c r="H122" t="s">
        <v>759</v>
      </c>
      <c r="I122" t="s">
        <v>701</v>
      </c>
      <c r="J122" s="2" t="s">
        <v>8</v>
      </c>
      <c r="K122" s="2" t="s">
        <v>726</v>
      </c>
      <c r="L122" s="2" t="s">
        <v>79</v>
      </c>
      <c r="M122" s="2" t="s">
        <v>388</v>
      </c>
      <c r="N122" s="2">
        <v>7</v>
      </c>
      <c r="O122" s="2" t="s">
        <v>0</v>
      </c>
      <c r="P122" s="2">
        <v>275907.56</v>
      </c>
      <c r="Q122" s="13">
        <v>1931352.92</v>
      </c>
      <c r="R122" t="s">
        <v>757</v>
      </c>
    </row>
    <row r="123" spans="1:18" x14ac:dyDescent="0.3">
      <c r="A123" s="2" t="s">
        <v>184</v>
      </c>
      <c r="B123" s="15">
        <v>46184</v>
      </c>
      <c r="C123" t="s">
        <v>718</v>
      </c>
      <c r="D123" s="3" t="s">
        <v>701</v>
      </c>
      <c r="E123" s="2" t="s">
        <v>23</v>
      </c>
      <c r="F123" s="3">
        <v>46135.531724537039</v>
      </c>
      <c r="G123" s="3" t="s">
        <v>716</v>
      </c>
      <c r="H123" t="s">
        <v>759</v>
      </c>
      <c r="I123" t="s">
        <v>701</v>
      </c>
      <c r="J123" s="2" t="s">
        <v>8</v>
      </c>
      <c r="K123" s="2" t="s">
        <v>726</v>
      </c>
      <c r="L123" s="2" t="s">
        <v>79</v>
      </c>
      <c r="M123" s="2" t="s">
        <v>467</v>
      </c>
      <c r="N123" s="2">
        <v>17</v>
      </c>
      <c r="O123" s="2" t="s">
        <v>0</v>
      </c>
      <c r="P123" s="2">
        <v>331670.93</v>
      </c>
      <c r="Q123" s="13">
        <v>5638405.8099999996</v>
      </c>
      <c r="R123" t="s">
        <v>757</v>
      </c>
    </row>
    <row r="124" spans="1:18" x14ac:dyDescent="0.3">
      <c r="A124" s="2" t="s">
        <v>186</v>
      </c>
      <c r="B124" s="15">
        <v>46182</v>
      </c>
      <c r="C124" t="s">
        <v>718</v>
      </c>
      <c r="D124" s="3" t="s">
        <v>701</v>
      </c>
      <c r="E124" s="2" t="s">
        <v>140</v>
      </c>
      <c r="F124" s="3">
        <v>46171.654178240737</v>
      </c>
      <c r="G124" s="3" t="s">
        <v>717</v>
      </c>
      <c r="H124" t="s">
        <v>759</v>
      </c>
      <c r="I124" t="s">
        <v>701</v>
      </c>
      <c r="J124" s="2" t="s">
        <v>1</v>
      </c>
      <c r="K124" s="2" t="s">
        <v>1</v>
      </c>
      <c r="L124" s="2"/>
      <c r="M124" s="2" t="s">
        <v>468</v>
      </c>
      <c r="N124" s="2">
        <v>7</v>
      </c>
      <c r="O124" s="2" t="s">
        <v>0</v>
      </c>
      <c r="P124" s="2">
        <v>74254.02</v>
      </c>
      <c r="Q124" s="13">
        <v>519778.14</v>
      </c>
      <c r="R124" t="s">
        <v>757</v>
      </c>
    </row>
    <row r="125" spans="1:18" x14ac:dyDescent="0.3">
      <c r="A125" s="2" t="s">
        <v>186</v>
      </c>
      <c r="B125" s="15">
        <v>46182</v>
      </c>
      <c r="C125" t="s">
        <v>718</v>
      </c>
      <c r="D125" s="3" t="s">
        <v>701</v>
      </c>
      <c r="E125" s="2" t="s">
        <v>140</v>
      </c>
      <c r="F125" s="3">
        <v>46171.654178240737</v>
      </c>
      <c r="G125" s="3" t="s">
        <v>717</v>
      </c>
      <c r="H125" t="s">
        <v>759</v>
      </c>
      <c r="I125" t="s">
        <v>701</v>
      </c>
      <c r="J125" s="2" t="s">
        <v>1</v>
      </c>
      <c r="K125" s="2" t="s">
        <v>1</v>
      </c>
      <c r="L125" s="2"/>
      <c r="M125" s="2" t="s">
        <v>469</v>
      </c>
      <c r="N125" s="2">
        <v>7</v>
      </c>
      <c r="O125" s="2" t="s">
        <v>0</v>
      </c>
      <c r="P125" s="2">
        <v>3401.92</v>
      </c>
      <c r="Q125" s="13">
        <v>23813.440000000002</v>
      </c>
      <c r="R125" t="s">
        <v>757</v>
      </c>
    </row>
    <row r="126" spans="1:18" x14ac:dyDescent="0.3">
      <c r="A126" s="2" t="s">
        <v>187</v>
      </c>
      <c r="B126" s="15">
        <v>46176</v>
      </c>
      <c r="C126" t="s">
        <v>718</v>
      </c>
      <c r="D126" s="3" t="s">
        <v>701</v>
      </c>
      <c r="E126" s="2" t="s">
        <v>17</v>
      </c>
      <c r="F126" s="3">
        <v>46161.528414351851</v>
      </c>
      <c r="G126" s="3" t="s">
        <v>717</v>
      </c>
      <c r="H126" t="s">
        <v>759</v>
      </c>
      <c r="I126" t="s">
        <v>701</v>
      </c>
      <c r="J126" s="2" t="s">
        <v>8</v>
      </c>
      <c r="K126" s="2" t="s">
        <v>726</v>
      </c>
      <c r="L126" s="2" t="s">
        <v>79</v>
      </c>
      <c r="M126" s="2" t="s">
        <v>664</v>
      </c>
      <c r="N126" s="2">
        <v>20</v>
      </c>
      <c r="O126" s="2" t="s">
        <v>0</v>
      </c>
      <c r="P126" s="2">
        <v>168415.55</v>
      </c>
      <c r="Q126" s="13">
        <v>3368311</v>
      </c>
      <c r="R126" t="s">
        <v>757</v>
      </c>
    </row>
    <row r="127" spans="1:18" x14ac:dyDescent="0.3">
      <c r="A127" s="2" t="s">
        <v>188</v>
      </c>
      <c r="B127" s="15">
        <v>46176</v>
      </c>
      <c r="C127" t="s">
        <v>718</v>
      </c>
      <c r="D127" s="3" t="s">
        <v>701</v>
      </c>
      <c r="E127" s="2" t="s">
        <v>14</v>
      </c>
      <c r="F127" s="3">
        <v>46164.385497685187</v>
      </c>
      <c r="G127" s="3" t="s">
        <v>717</v>
      </c>
      <c r="H127" t="s">
        <v>759</v>
      </c>
      <c r="I127" t="s">
        <v>701</v>
      </c>
      <c r="J127" s="2" t="s">
        <v>8</v>
      </c>
      <c r="K127" s="2" t="s">
        <v>726</v>
      </c>
      <c r="L127" s="2" t="s">
        <v>79</v>
      </c>
      <c r="M127" s="2" t="s">
        <v>428</v>
      </c>
      <c r="N127" s="2">
        <v>90</v>
      </c>
      <c r="O127" s="2" t="s">
        <v>0</v>
      </c>
      <c r="P127" s="2">
        <v>4557.04</v>
      </c>
      <c r="Q127" s="13">
        <v>410133.6</v>
      </c>
      <c r="R127" t="s">
        <v>757</v>
      </c>
    </row>
    <row r="128" spans="1:18" x14ac:dyDescent="0.3">
      <c r="A128" s="2" t="s">
        <v>189</v>
      </c>
      <c r="B128" s="15">
        <v>46176</v>
      </c>
      <c r="C128" t="s">
        <v>718</v>
      </c>
      <c r="D128" s="3" t="s">
        <v>701</v>
      </c>
      <c r="E128" s="2" t="s">
        <v>16</v>
      </c>
      <c r="F128" s="3">
        <v>46162.748171296298</v>
      </c>
      <c r="G128" s="3" t="s">
        <v>717</v>
      </c>
      <c r="H128" t="s">
        <v>759</v>
      </c>
      <c r="I128" t="s">
        <v>701</v>
      </c>
      <c r="J128" s="2" t="s">
        <v>2</v>
      </c>
      <c r="K128" s="2" t="s">
        <v>726</v>
      </c>
      <c r="L128" s="2" t="s">
        <v>80</v>
      </c>
      <c r="M128" s="2" t="s">
        <v>427</v>
      </c>
      <c r="N128" s="2">
        <v>1</v>
      </c>
      <c r="O128" s="2" t="s">
        <v>0</v>
      </c>
      <c r="P128" s="2">
        <v>132285.71</v>
      </c>
      <c r="Q128" s="13">
        <v>132285.71</v>
      </c>
      <c r="R128" t="s">
        <v>757</v>
      </c>
    </row>
    <row r="129" spans="1:18" x14ac:dyDescent="0.3">
      <c r="A129" s="2" t="s">
        <v>189</v>
      </c>
      <c r="B129" s="15">
        <v>46176</v>
      </c>
      <c r="C129" t="s">
        <v>718</v>
      </c>
      <c r="D129" s="3" t="s">
        <v>701</v>
      </c>
      <c r="E129" s="2" t="s">
        <v>16</v>
      </c>
      <c r="F129" s="3">
        <v>46162.748171296298</v>
      </c>
      <c r="G129" s="3" t="s">
        <v>717</v>
      </c>
      <c r="H129" t="s">
        <v>759</v>
      </c>
      <c r="I129" t="s">
        <v>701</v>
      </c>
      <c r="J129" s="2" t="s">
        <v>2</v>
      </c>
      <c r="K129" s="2" t="s">
        <v>726</v>
      </c>
      <c r="L129" s="2" t="s">
        <v>80</v>
      </c>
      <c r="M129" s="2" t="s">
        <v>421</v>
      </c>
      <c r="N129" s="2">
        <v>1</v>
      </c>
      <c r="O129" s="2" t="s">
        <v>0</v>
      </c>
      <c r="P129" s="2">
        <v>32830312.609999999</v>
      </c>
      <c r="Q129" s="13">
        <v>32830312.609999999</v>
      </c>
      <c r="R129" t="s">
        <v>757</v>
      </c>
    </row>
    <row r="130" spans="1:18" x14ac:dyDescent="0.3">
      <c r="A130" s="2" t="s">
        <v>189</v>
      </c>
      <c r="B130" s="15">
        <v>46176</v>
      </c>
      <c r="C130" t="s">
        <v>718</v>
      </c>
      <c r="D130" s="3" t="s">
        <v>701</v>
      </c>
      <c r="E130" s="2" t="s">
        <v>16</v>
      </c>
      <c r="F130" s="3">
        <v>46162.748171296298</v>
      </c>
      <c r="G130" s="3" t="s">
        <v>717</v>
      </c>
      <c r="H130" t="s">
        <v>759</v>
      </c>
      <c r="I130" t="s">
        <v>701</v>
      </c>
      <c r="J130" s="2" t="s">
        <v>2</v>
      </c>
      <c r="K130" s="2" t="s">
        <v>726</v>
      </c>
      <c r="L130" s="2" t="s">
        <v>80</v>
      </c>
      <c r="M130" s="2" t="s">
        <v>473</v>
      </c>
      <c r="N130" s="2">
        <v>4</v>
      </c>
      <c r="O130" s="2" t="s">
        <v>0</v>
      </c>
      <c r="P130" s="2">
        <v>34950168.490000002</v>
      </c>
      <c r="Q130" s="13">
        <v>139800673.96000001</v>
      </c>
      <c r="R130" t="s">
        <v>757</v>
      </c>
    </row>
    <row r="131" spans="1:18" x14ac:dyDescent="0.3">
      <c r="A131" s="2" t="s">
        <v>189</v>
      </c>
      <c r="B131" s="15">
        <v>46176</v>
      </c>
      <c r="C131" t="s">
        <v>718</v>
      </c>
      <c r="D131" s="3" t="s">
        <v>701</v>
      </c>
      <c r="E131" s="2" t="s">
        <v>16</v>
      </c>
      <c r="F131" s="3">
        <v>46162.748171296298</v>
      </c>
      <c r="G131" s="3" t="s">
        <v>717</v>
      </c>
      <c r="H131" t="s">
        <v>759</v>
      </c>
      <c r="I131" t="s">
        <v>701</v>
      </c>
      <c r="J131" s="2" t="s">
        <v>2</v>
      </c>
      <c r="K131" s="2" t="s">
        <v>726</v>
      </c>
      <c r="L131" s="2" t="s">
        <v>80</v>
      </c>
      <c r="M131" s="2" t="s">
        <v>474</v>
      </c>
      <c r="N131" s="2">
        <v>68</v>
      </c>
      <c r="O131" s="2" t="s">
        <v>0</v>
      </c>
      <c r="P131" s="2">
        <v>259424.56</v>
      </c>
      <c r="Q131" s="13">
        <v>17640870.079999998</v>
      </c>
      <c r="R131" t="s">
        <v>757</v>
      </c>
    </row>
    <row r="132" spans="1:18" x14ac:dyDescent="0.3">
      <c r="A132" s="2" t="s">
        <v>190</v>
      </c>
      <c r="B132" s="15">
        <v>46176</v>
      </c>
      <c r="C132" t="s">
        <v>718</v>
      </c>
      <c r="D132" s="3" t="s">
        <v>701</v>
      </c>
      <c r="E132" s="2" t="s">
        <v>15</v>
      </c>
      <c r="F132" s="3">
        <v>46162.748900462961</v>
      </c>
      <c r="G132" s="3" t="s">
        <v>717</v>
      </c>
      <c r="H132" t="s">
        <v>759</v>
      </c>
      <c r="I132" t="s">
        <v>701</v>
      </c>
      <c r="J132" s="2" t="s">
        <v>2</v>
      </c>
      <c r="K132" s="2" t="s">
        <v>726</v>
      </c>
      <c r="L132" s="2" t="s">
        <v>80</v>
      </c>
      <c r="M132" s="2" t="s">
        <v>421</v>
      </c>
      <c r="N132" s="2">
        <v>3</v>
      </c>
      <c r="O132" s="2" t="s">
        <v>0</v>
      </c>
      <c r="P132" s="2">
        <v>32830306.719999999</v>
      </c>
      <c r="Q132" s="13">
        <v>98490920.159999996</v>
      </c>
      <c r="R132" t="s">
        <v>757</v>
      </c>
    </row>
    <row r="133" spans="1:18" x14ac:dyDescent="0.3">
      <c r="A133" s="2" t="s">
        <v>190</v>
      </c>
      <c r="B133" s="15">
        <v>46176</v>
      </c>
      <c r="C133" t="s">
        <v>718</v>
      </c>
      <c r="D133" s="3" t="s">
        <v>701</v>
      </c>
      <c r="E133" s="2" t="s">
        <v>15</v>
      </c>
      <c r="F133" s="3">
        <v>46162.748900462961</v>
      </c>
      <c r="G133" s="3" t="s">
        <v>717</v>
      </c>
      <c r="H133" t="s">
        <v>759</v>
      </c>
      <c r="I133" t="s">
        <v>701</v>
      </c>
      <c r="J133" s="2" t="s">
        <v>2</v>
      </c>
      <c r="K133" s="2" t="s">
        <v>726</v>
      </c>
      <c r="L133" s="2" t="s">
        <v>80</v>
      </c>
      <c r="M133" s="2" t="s">
        <v>474</v>
      </c>
      <c r="N133" s="2">
        <v>48</v>
      </c>
      <c r="O133" s="2" t="s">
        <v>0</v>
      </c>
      <c r="P133" s="2">
        <v>259435.99</v>
      </c>
      <c r="Q133" s="13">
        <v>12452927.52</v>
      </c>
      <c r="R133" t="s">
        <v>757</v>
      </c>
    </row>
    <row r="134" spans="1:18" x14ac:dyDescent="0.3">
      <c r="A134" s="2" t="s">
        <v>191</v>
      </c>
      <c r="B134" s="15">
        <v>46176</v>
      </c>
      <c r="C134" t="s">
        <v>718</v>
      </c>
      <c r="D134" s="3" t="s">
        <v>701</v>
      </c>
      <c r="E134" s="2" t="s">
        <v>15</v>
      </c>
      <c r="F134" s="3">
        <v>46162.748900462961</v>
      </c>
      <c r="G134" s="3" t="s">
        <v>717</v>
      </c>
      <c r="H134" t="s">
        <v>759</v>
      </c>
      <c r="I134" t="s">
        <v>701</v>
      </c>
      <c r="J134" s="2" t="s">
        <v>2</v>
      </c>
      <c r="K134" s="2" t="s">
        <v>726</v>
      </c>
      <c r="L134" s="2" t="s">
        <v>80</v>
      </c>
      <c r="M134" s="2" t="s">
        <v>427</v>
      </c>
      <c r="N134" s="2">
        <v>2</v>
      </c>
      <c r="O134" s="2" t="s">
        <v>0</v>
      </c>
      <c r="P134" s="2">
        <v>132285.72</v>
      </c>
      <c r="Q134" s="13">
        <v>264571.44</v>
      </c>
      <c r="R134" t="s">
        <v>757</v>
      </c>
    </row>
    <row r="135" spans="1:18" x14ac:dyDescent="0.3">
      <c r="A135" s="2" t="s">
        <v>191</v>
      </c>
      <c r="B135" s="15">
        <v>46176</v>
      </c>
      <c r="C135" t="s">
        <v>718</v>
      </c>
      <c r="D135" s="3" t="s">
        <v>701</v>
      </c>
      <c r="E135" s="2" t="s">
        <v>15</v>
      </c>
      <c r="F135" s="3">
        <v>46162.748900462961</v>
      </c>
      <c r="G135" s="3" t="s">
        <v>717</v>
      </c>
      <c r="H135" t="s">
        <v>759</v>
      </c>
      <c r="I135" t="s">
        <v>701</v>
      </c>
      <c r="J135" s="2" t="s">
        <v>2</v>
      </c>
      <c r="K135" s="2" t="s">
        <v>726</v>
      </c>
      <c r="L135" s="2" t="s">
        <v>80</v>
      </c>
      <c r="M135" s="2" t="s">
        <v>421</v>
      </c>
      <c r="N135" s="2">
        <v>2</v>
      </c>
      <c r="O135" s="2" t="s">
        <v>0</v>
      </c>
      <c r="P135" s="2">
        <v>32830306.309999999</v>
      </c>
      <c r="Q135" s="13">
        <v>65660612.619999997</v>
      </c>
      <c r="R135" t="s">
        <v>757</v>
      </c>
    </row>
    <row r="136" spans="1:18" x14ac:dyDescent="0.3">
      <c r="A136" s="2" t="s">
        <v>192</v>
      </c>
      <c r="B136" s="15">
        <v>46176</v>
      </c>
      <c r="C136" t="s">
        <v>718</v>
      </c>
      <c r="D136" s="3" t="s">
        <v>701</v>
      </c>
      <c r="E136" s="2" t="s">
        <v>15</v>
      </c>
      <c r="F136" s="3">
        <v>46162.748900462961</v>
      </c>
      <c r="G136" s="3" t="s">
        <v>717</v>
      </c>
      <c r="H136" t="s">
        <v>759</v>
      </c>
      <c r="I136" t="s">
        <v>701</v>
      </c>
      <c r="J136" s="2" t="s">
        <v>2</v>
      </c>
      <c r="K136" s="2" t="s">
        <v>726</v>
      </c>
      <c r="L136" s="2" t="s">
        <v>80</v>
      </c>
      <c r="M136" s="2" t="s">
        <v>475</v>
      </c>
      <c r="N136" s="2">
        <v>1</v>
      </c>
      <c r="O136" s="2" t="s">
        <v>0</v>
      </c>
      <c r="P136" s="2">
        <v>6764421.8499999996</v>
      </c>
      <c r="Q136" s="13">
        <v>6764421.8499999996</v>
      </c>
      <c r="R136" t="s">
        <v>757</v>
      </c>
    </row>
    <row r="137" spans="1:18" x14ac:dyDescent="0.3">
      <c r="A137" s="2" t="s">
        <v>193</v>
      </c>
      <c r="B137" s="15">
        <v>46176</v>
      </c>
      <c r="C137" t="s">
        <v>718</v>
      </c>
      <c r="D137" s="3" t="s">
        <v>701</v>
      </c>
      <c r="E137" s="2" t="s">
        <v>37</v>
      </c>
      <c r="F137" s="3">
        <v>46100.546215277784</v>
      </c>
      <c r="G137" s="3" t="s">
        <v>692</v>
      </c>
      <c r="H137" t="s">
        <v>759</v>
      </c>
      <c r="I137" t="s">
        <v>699</v>
      </c>
      <c r="J137" s="2" t="s">
        <v>1</v>
      </c>
      <c r="K137" s="2" t="s">
        <v>745</v>
      </c>
      <c r="L137" s="2" t="s">
        <v>89</v>
      </c>
      <c r="M137" s="2" t="s">
        <v>476</v>
      </c>
      <c r="N137" s="2">
        <v>10</v>
      </c>
      <c r="O137" s="2" t="s">
        <v>0</v>
      </c>
      <c r="P137" s="2">
        <v>20720.84</v>
      </c>
      <c r="Q137" s="13">
        <v>207208.4</v>
      </c>
      <c r="R137" t="s">
        <v>757</v>
      </c>
    </row>
    <row r="138" spans="1:18" x14ac:dyDescent="0.3">
      <c r="A138" s="2" t="s">
        <v>194</v>
      </c>
      <c r="B138" s="15">
        <v>46176</v>
      </c>
      <c r="C138" t="s">
        <v>718</v>
      </c>
      <c r="D138" s="3" t="s">
        <v>701</v>
      </c>
      <c r="E138" s="2" t="s">
        <v>69</v>
      </c>
      <c r="F138" s="3">
        <v>46050.437291666669</v>
      </c>
      <c r="G138" s="3" t="s">
        <v>690</v>
      </c>
      <c r="H138" t="s">
        <v>759</v>
      </c>
      <c r="I138" t="s">
        <v>699</v>
      </c>
      <c r="J138" s="2" t="s">
        <v>2</v>
      </c>
      <c r="K138" s="2" t="s">
        <v>726</v>
      </c>
      <c r="L138" s="2" t="s">
        <v>80</v>
      </c>
      <c r="M138" s="2" t="s">
        <v>477</v>
      </c>
      <c r="N138" s="2">
        <v>1</v>
      </c>
      <c r="O138" s="2" t="s">
        <v>0</v>
      </c>
      <c r="P138" s="2">
        <v>17884031.93</v>
      </c>
      <c r="Q138" s="13">
        <v>17884031.93</v>
      </c>
      <c r="R138" t="s">
        <v>757</v>
      </c>
    </row>
    <row r="139" spans="1:18" x14ac:dyDescent="0.3">
      <c r="A139" s="2" t="s">
        <v>195</v>
      </c>
      <c r="B139" s="15">
        <v>46171</v>
      </c>
      <c r="C139" t="s">
        <v>717</v>
      </c>
      <c r="D139" s="3" t="s">
        <v>701</v>
      </c>
      <c r="E139" s="2" t="s">
        <v>13</v>
      </c>
      <c r="F139" s="3">
        <v>46167.727893518517</v>
      </c>
      <c r="G139" s="3" t="s">
        <v>717</v>
      </c>
      <c r="H139" t="s">
        <v>759</v>
      </c>
      <c r="I139" t="s">
        <v>701</v>
      </c>
      <c r="J139" s="2" t="s">
        <v>1</v>
      </c>
      <c r="K139" s="2" t="s">
        <v>1</v>
      </c>
      <c r="L139" s="2"/>
      <c r="M139" s="2" t="s">
        <v>478</v>
      </c>
      <c r="N139" s="2">
        <v>1</v>
      </c>
      <c r="O139" s="2" t="s">
        <v>0</v>
      </c>
      <c r="P139" s="2">
        <v>2364668.0699999998</v>
      </c>
      <c r="Q139" s="13">
        <v>2364668.0699999998</v>
      </c>
      <c r="R139" t="s">
        <v>757</v>
      </c>
    </row>
    <row r="140" spans="1:18" x14ac:dyDescent="0.3">
      <c r="A140" s="2" t="s">
        <v>195</v>
      </c>
      <c r="B140" s="15">
        <v>46171</v>
      </c>
      <c r="C140" t="s">
        <v>717</v>
      </c>
      <c r="D140" s="3" t="s">
        <v>701</v>
      </c>
      <c r="E140" s="2" t="s">
        <v>13</v>
      </c>
      <c r="F140" s="3">
        <v>46167.727893518517</v>
      </c>
      <c r="G140" s="3" t="s">
        <v>717</v>
      </c>
      <c r="H140" t="s">
        <v>759</v>
      </c>
      <c r="I140" t="s">
        <v>701</v>
      </c>
      <c r="J140" s="2" t="s">
        <v>8</v>
      </c>
      <c r="K140" s="2" t="s">
        <v>726</v>
      </c>
      <c r="L140" s="2" t="s">
        <v>82</v>
      </c>
      <c r="M140" s="2" t="s">
        <v>408</v>
      </c>
      <c r="N140" s="2">
        <v>1</v>
      </c>
      <c r="O140" s="2" t="s">
        <v>0</v>
      </c>
      <c r="P140" s="2">
        <v>346120.17</v>
      </c>
      <c r="Q140" s="13">
        <v>346120.17</v>
      </c>
      <c r="R140" t="s">
        <v>757</v>
      </c>
    </row>
    <row r="141" spans="1:18" x14ac:dyDescent="0.3">
      <c r="A141" s="2" t="s">
        <v>195</v>
      </c>
      <c r="B141" s="15">
        <v>46171</v>
      </c>
      <c r="C141" t="s">
        <v>717</v>
      </c>
      <c r="D141" s="3" t="s">
        <v>701</v>
      </c>
      <c r="E141" s="2" t="s">
        <v>13</v>
      </c>
      <c r="F141" s="3">
        <v>46167.727893518517</v>
      </c>
      <c r="G141" s="3" t="s">
        <v>717</v>
      </c>
      <c r="H141" t="s">
        <v>759</v>
      </c>
      <c r="I141" t="s">
        <v>701</v>
      </c>
      <c r="J141" s="2" t="s">
        <v>8</v>
      </c>
      <c r="K141" s="2" t="s">
        <v>726</v>
      </c>
      <c r="L141" s="2" t="s">
        <v>79</v>
      </c>
      <c r="M141" s="2" t="s">
        <v>388</v>
      </c>
      <c r="N141" s="2">
        <v>1</v>
      </c>
      <c r="O141" s="2" t="s">
        <v>0</v>
      </c>
      <c r="P141" s="2">
        <v>321309.24</v>
      </c>
      <c r="Q141" s="13">
        <v>321309.24</v>
      </c>
      <c r="R141" t="s">
        <v>757</v>
      </c>
    </row>
    <row r="142" spans="1:18" x14ac:dyDescent="0.3">
      <c r="A142" s="2" t="s">
        <v>195</v>
      </c>
      <c r="B142" s="15">
        <v>46171</v>
      </c>
      <c r="C142" t="s">
        <v>717</v>
      </c>
      <c r="D142" s="3" t="s">
        <v>701</v>
      </c>
      <c r="E142" s="2" t="s">
        <v>13</v>
      </c>
      <c r="F142" s="3">
        <v>46167.727893518517</v>
      </c>
      <c r="G142" s="3" t="s">
        <v>717</v>
      </c>
      <c r="H142" t="s">
        <v>759</v>
      </c>
      <c r="I142" t="s">
        <v>701</v>
      </c>
      <c r="J142" s="2" t="s">
        <v>8</v>
      </c>
      <c r="K142" s="2" t="s">
        <v>726</v>
      </c>
      <c r="L142" s="2" t="s">
        <v>79</v>
      </c>
      <c r="M142" s="2" t="s">
        <v>458</v>
      </c>
      <c r="N142" s="2">
        <v>2</v>
      </c>
      <c r="O142" s="2" t="s">
        <v>0</v>
      </c>
      <c r="P142" s="2">
        <v>175362.61</v>
      </c>
      <c r="Q142" s="13">
        <v>350725.22</v>
      </c>
      <c r="R142" t="s">
        <v>757</v>
      </c>
    </row>
    <row r="143" spans="1:18" x14ac:dyDescent="0.3">
      <c r="A143" s="2" t="s">
        <v>195</v>
      </c>
      <c r="B143" s="15">
        <v>46171</v>
      </c>
      <c r="C143" t="s">
        <v>717</v>
      </c>
      <c r="D143" s="3" t="s">
        <v>701</v>
      </c>
      <c r="E143" s="2" t="s">
        <v>13</v>
      </c>
      <c r="F143" s="3">
        <v>46167.727893518517</v>
      </c>
      <c r="G143" s="3" t="s">
        <v>717</v>
      </c>
      <c r="H143" t="s">
        <v>759</v>
      </c>
      <c r="I143" t="s">
        <v>701</v>
      </c>
      <c r="J143" s="2" t="s">
        <v>8</v>
      </c>
      <c r="K143" s="2" t="s">
        <v>726</v>
      </c>
      <c r="L143" s="2" t="s">
        <v>83</v>
      </c>
      <c r="M143" s="2" t="s">
        <v>479</v>
      </c>
      <c r="N143" s="2">
        <v>4</v>
      </c>
      <c r="O143" s="2" t="s">
        <v>0</v>
      </c>
      <c r="P143" s="2">
        <v>68843.91</v>
      </c>
      <c r="Q143" s="13">
        <v>275375.64</v>
      </c>
      <c r="R143" t="s">
        <v>757</v>
      </c>
    </row>
    <row r="144" spans="1:18" x14ac:dyDescent="0.3">
      <c r="A144" s="2" t="s">
        <v>195</v>
      </c>
      <c r="B144" s="15">
        <v>46171</v>
      </c>
      <c r="C144" t="s">
        <v>717</v>
      </c>
      <c r="D144" s="3" t="s">
        <v>701</v>
      </c>
      <c r="E144" s="2" t="s">
        <v>13</v>
      </c>
      <c r="F144" s="3">
        <v>46167.727893518517</v>
      </c>
      <c r="G144" s="3" t="s">
        <v>717</v>
      </c>
      <c r="H144" t="s">
        <v>759</v>
      </c>
      <c r="I144" t="s">
        <v>701</v>
      </c>
      <c r="J144" s="2" t="s">
        <v>8</v>
      </c>
      <c r="K144" s="2" t="s">
        <v>726</v>
      </c>
      <c r="L144" s="2" t="s">
        <v>84</v>
      </c>
      <c r="M144" s="2" t="s">
        <v>419</v>
      </c>
      <c r="N144" s="2">
        <v>15</v>
      </c>
      <c r="O144" s="2" t="s">
        <v>0</v>
      </c>
      <c r="P144" s="2">
        <v>39866.67</v>
      </c>
      <c r="Q144" s="13">
        <v>598000.04999999993</v>
      </c>
      <c r="R144" t="s">
        <v>757</v>
      </c>
    </row>
    <row r="145" spans="1:18" x14ac:dyDescent="0.3">
      <c r="A145" s="2" t="s">
        <v>195</v>
      </c>
      <c r="B145" s="15">
        <v>46171</v>
      </c>
      <c r="C145" t="s">
        <v>717</v>
      </c>
      <c r="D145" s="3" t="s">
        <v>701</v>
      </c>
      <c r="E145" s="2" t="s">
        <v>13</v>
      </c>
      <c r="F145" s="3">
        <v>46167.727893518517</v>
      </c>
      <c r="G145" s="3" t="s">
        <v>717</v>
      </c>
      <c r="H145" t="s">
        <v>759</v>
      </c>
      <c r="I145" t="s">
        <v>701</v>
      </c>
      <c r="J145" s="2" t="s">
        <v>8</v>
      </c>
      <c r="K145" s="2" t="s">
        <v>726</v>
      </c>
      <c r="L145" s="2" t="s">
        <v>83</v>
      </c>
      <c r="M145" s="2" t="s">
        <v>480</v>
      </c>
      <c r="N145" s="2">
        <v>24</v>
      </c>
      <c r="O145" s="2" t="s">
        <v>0</v>
      </c>
      <c r="P145" s="2">
        <v>101292.82</v>
      </c>
      <c r="Q145" s="13">
        <v>2431027.6800000002</v>
      </c>
      <c r="R145" t="s">
        <v>757</v>
      </c>
    </row>
    <row r="146" spans="1:18" x14ac:dyDescent="0.3">
      <c r="A146" s="2" t="s">
        <v>196</v>
      </c>
      <c r="B146" s="15">
        <v>46169</v>
      </c>
      <c r="C146" t="s">
        <v>717</v>
      </c>
      <c r="D146" s="3" t="s">
        <v>701</v>
      </c>
      <c r="E146" s="2" t="s">
        <v>18</v>
      </c>
      <c r="F146" s="3">
        <v>46161.719317129631</v>
      </c>
      <c r="G146" s="3" t="s">
        <v>717</v>
      </c>
      <c r="H146" t="s">
        <v>759</v>
      </c>
      <c r="I146" t="s">
        <v>701</v>
      </c>
      <c r="J146" s="2" t="s">
        <v>1</v>
      </c>
      <c r="K146" s="2" t="s">
        <v>1</v>
      </c>
      <c r="L146" s="2"/>
      <c r="M146" s="2" t="s">
        <v>481</v>
      </c>
      <c r="N146" s="2">
        <v>1</v>
      </c>
      <c r="O146" s="2" t="s">
        <v>0</v>
      </c>
      <c r="P146" s="2">
        <v>4650614.29</v>
      </c>
      <c r="Q146" s="13">
        <v>4650614.29</v>
      </c>
      <c r="R146" t="s">
        <v>757</v>
      </c>
    </row>
    <row r="147" spans="1:18" x14ac:dyDescent="0.3">
      <c r="A147" s="2" t="s">
        <v>197</v>
      </c>
      <c r="B147" s="15">
        <v>46169</v>
      </c>
      <c r="C147" t="s">
        <v>717</v>
      </c>
      <c r="D147" s="3" t="s">
        <v>701</v>
      </c>
      <c r="E147" s="2"/>
      <c r="F147" s="2"/>
      <c r="G147" s="3" t="s">
        <v>690</v>
      </c>
      <c r="H147" t="s">
        <v>759</v>
      </c>
      <c r="I147" t="s">
        <v>699</v>
      </c>
      <c r="J147" s="2" t="s">
        <v>8</v>
      </c>
      <c r="K147" s="2" t="s">
        <v>726</v>
      </c>
      <c r="L147" s="2" t="s">
        <v>79</v>
      </c>
      <c r="M147" s="2" t="s">
        <v>388</v>
      </c>
      <c r="N147" s="2">
        <v>17</v>
      </c>
      <c r="O147" s="2" t="s">
        <v>0</v>
      </c>
      <c r="P147" s="2">
        <v>275172.57</v>
      </c>
      <c r="Q147" s="13">
        <v>4677933.6900000004</v>
      </c>
      <c r="R147" t="s">
        <v>757</v>
      </c>
    </row>
    <row r="148" spans="1:18" x14ac:dyDescent="0.3">
      <c r="A148" s="2" t="s">
        <v>197</v>
      </c>
      <c r="B148" s="15">
        <v>46169</v>
      </c>
      <c r="C148" t="s">
        <v>717</v>
      </c>
      <c r="D148" s="3" t="s">
        <v>701</v>
      </c>
      <c r="E148" s="2"/>
      <c r="F148" s="2"/>
      <c r="G148" s="3" t="s">
        <v>690</v>
      </c>
      <c r="H148" t="s">
        <v>759</v>
      </c>
      <c r="I148" t="s">
        <v>699</v>
      </c>
      <c r="J148" s="2" t="s">
        <v>8</v>
      </c>
      <c r="K148" s="2" t="s">
        <v>726</v>
      </c>
      <c r="L148" s="2" t="s">
        <v>82</v>
      </c>
      <c r="M148" s="2" t="s">
        <v>482</v>
      </c>
      <c r="N148" s="2">
        <v>47</v>
      </c>
      <c r="O148" s="2" t="s">
        <v>0</v>
      </c>
      <c r="P148" s="2">
        <v>3119161.9</v>
      </c>
      <c r="Q148" s="13">
        <v>146600609.29999998</v>
      </c>
      <c r="R148" t="s">
        <v>757</v>
      </c>
    </row>
    <row r="149" spans="1:18" x14ac:dyDescent="0.3">
      <c r="A149" s="2" t="s">
        <v>197</v>
      </c>
      <c r="B149" s="15">
        <v>46169</v>
      </c>
      <c r="C149" t="s">
        <v>717</v>
      </c>
      <c r="D149" s="3" t="s">
        <v>701</v>
      </c>
      <c r="E149" s="2"/>
      <c r="F149" s="2"/>
      <c r="G149" s="3" t="s">
        <v>690</v>
      </c>
      <c r="H149" t="s">
        <v>759</v>
      </c>
      <c r="I149" t="s">
        <v>699</v>
      </c>
      <c r="J149" s="2" t="s">
        <v>8</v>
      </c>
      <c r="K149" s="2" t="s">
        <v>726</v>
      </c>
      <c r="L149" s="2" t="s">
        <v>79</v>
      </c>
      <c r="M149" s="2" t="s">
        <v>483</v>
      </c>
      <c r="N149" s="2">
        <v>5</v>
      </c>
      <c r="O149" s="2" t="s">
        <v>0</v>
      </c>
      <c r="P149" s="2">
        <v>501180.67</v>
      </c>
      <c r="Q149" s="13">
        <v>2505903.35</v>
      </c>
      <c r="R149" t="s">
        <v>757</v>
      </c>
    </row>
    <row r="150" spans="1:18" x14ac:dyDescent="0.3">
      <c r="A150" s="2" t="s">
        <v>198</v>
      </c>
      <c r="B150" s="15">
        <v>46168</v>
      </c>
      <c r="C150" t="s">
        <v>717</v>
      </c>
      <c r="D150" s="3" t="s">
        <v>701</v>
      </c>
      <c r="E150" s="2"/>
      <c r="F150" s="2"/>
      <c r="G150" s="3" t="s">
        <v>690</v>
      </c>
      <c r="H150" t="s">
        <v>759</v>
      </c>
      <c r="I150" t="s">
        <v>699</v>
      </c>
      <c r="J150" s="2" t="s">
        <v>2</v>
      </c>
      <c r="K150" s="2" t="s">
        <v>726</v>
      </c>
      <c r="L150" s="2" t="s">
        <v>80</v>
      </c>
      <c r="M150" s="2" t="s">
        <v>477</v>
      </c>
      <c r="N150" s="2">
        <v>4</v>
      </c>
      <c r="O150" s="2" t="s">
        <v>0</v>
      </c>
      <c r="P150" s="2">
        <v>20780693.489999998</v>
      </c>
      <c r="Q150" s="13">
        <v>83122773.959999993</v>
      </c>
      <c r="R150" t="s">
        <v>757</v>
      </c>
    </row>
    <row r="151" spans="1:18" x14ac:dyDescent="0.3">
      <c r="A151" s="2" t="s">
        <v>199</v>
      </c>
      <c r="B151" s="15">
        <v>46168</v>
      </c>
      <c r="C151" t="s">
        <v>717</v>
      </c>
      <c r="D151" s="3" t="s">
        <v>701</v>
      </c>
      <c r="E151" s="2"/>
      <c r="F151" s="2"/>
      <c r="G151" s="3" t="s">
        <v>690</v>
      </c>
      <c r="H151" t="s">
        <v>759</v>
      </c>
      <c r="I151" t="s">
        <v>699</v>
      </c>
      <c r="J151" s="2" t="s">
        <v>2</v>
      </c>
      <c r="K151" s="2" t="s">
        <v>726</v>
      </c>
      <c r="L151" s="2" t="s">
        <v>80</v>
      </c>
      <c r="M151" s="2" t="s">
        <v>421</v>
      </c>
      <c r="N151" s="2">
        <v>5</v>
      </c>
      <c r="O151" s="2" t="s">
        <v>0</v>
      </c>
      <c r="P151" s="2">
        <v>18836780.170000002</v>
      </c>
      <c r="Q151" s="13">
        <v>94183900.850000009</v>
      </c>
      <c r="R151" t="s">
        <v>757</v>
      </c>
    </row>
    <row r="152" spans="1:18" x14ac:dyDescent="0.3">
      <c r="A152" s="2" t="s">
        <v>200</v>
      </c>
      <c r="B152" s="15">
        <v>46163</v>
      </c>
      <c r="C152" t="s">
        <v>717</v>
      </c>
      <c r="D152" s="3" t="s">
        <v>701</v>
      </c>
      <c r="E152" s="2"/>
      <c r="F152" s="2"/>
      <c r="G152" s="3" t="s">
        <v>690</v>
      </c>
      <c r="H152" t="s">
        <v>759</v>
      </c>
      <c r="I152" t="s">
        <v>699</v>
      </c>
      <c r="J152" s="2" t="s">
        <v>2</v>
      </c>
      <c r="K152" s="2" t="s">
        <v>726</v>
      </c>
      <c r="L152" s="2" t="s">
        <v>80</v>
      </c>
      <c r="M152" s="2" t="s">
        <v>477</v>
      </c>
      <c r="N152" s="2">
        <v>4</v>
      </c>
      <c r="O152" s="2" t="s">
        <v>0</v>
      </c>
      <c r="P152" s="2">
        <v>20780821.010000002</v>
      </c>
      <c r="Q152" s="13">
        <v>83123284.040000007</v>
      </c>
      <c r="R152" t="s">
        <v>757</v>
      </c>
    </row>
    <row r="153" spans="1:18" x14ac:dyDescent="0.3">
      <c r="A153" s="2" t="s">
        <v>201</v>
      </c>
      <c r="B153" s="15">
        <v>46163</v>
      </c>
      <c r="C153" t="s">
        <v>717</v>
      </c>
      <c r="D153" s="3" t="s">
        <v>701</v>
      </c>
      <c r="E153" s="2"/>
      <c r="F153" s="2"/>
      <c r="G153" s="3" t="s">
        <v>690</v>
      </c>
      <c r="H153" t="s">
        <v>759</v>
      </c>
      <c r="I153" t="s">
        <v>699</v>
      </c>
      <c r="J153" s="2" t="s">
        <v>2</v>
      </c>
      <c r="K153" s="2" t="s">
        <v>726</v>
      </c>
      <c r="L153" s="2" t="s">
        <v>80</v>
      </c>
      <c r="M153" s="2" t="s">
        <v>421</v>
      </c>
      <c r="N153" s="2">
        <v>2</v>
      </c>
      <c r="O153" s="2" t="s">
        <v>0</v>
      </c>
      <c r="P153" s="2">
        <v>31780612.190000001</v>
      </c>
      <c r="Q153" s="13">
        <v>63561224.380000003</v>
      </c>
      <c r="R153" t="s">
        <v>757</v>
      </c>
    </row>
    <row r="154" spans="1:18" x14ac:dyDescent="0.3">
      <c r="A154" s="2" t="s">
        <v>202</v>
      </c>
      <c r="B154" s="15">
        <v>46156</v>
      </c>
      <c r="C154" t="s">
        <v>717</v>
      </c>
      <c r="D154" s="3" t="s">
        <v>701</v>
      </c>
      <c r="E154" s="2" t="s">
        <v>32</v>
      </c>
      <c r="F154" s="3">
        <v>46111.573483796303</v>
      </c>
      <c r="G154" s="3" t="s">
        <v>692</v>
      </c>
      <c r="H154" t="s">
        <v>759</v>
      </c>
      <c r="I154" t="s">
        <v>699</v>
      </c>
      <c r="J154" s="2" t="s">
        <v>8</v>
      </c>
      <c r="K154" s="2" t="s">
        <v>726</v>
      </c>
      <c r="L154" s="2" t="s">
        <v>79</v>
      </c>
      <c r="M154" s="2" t="s">
        <v>487</v>
      </c>
      <c r="N154" s="2">
        <v>10</v>
      </c>
      <c r="O154" s="2" t="s">
        <v>0</v>
      </c>
      <c r="P154" s="2">
        <v>16881.77</v>
      </c>
      <c r="Q154" s="13">
        <v>168817.7</v>
      </c>
      <c r="R154" t="s">
        <v>757</v>
      </c>
    </row>
    <row r="155" spans="1:18" x14ac:dyDescent="0.3">
      <c r="A155" s="2" t="s">
        <v>203</v>
      </c>
      <c r="B155" s="15">
        <v>46153</v>
      </c>
      <c r="C155" t="s">
        <v>717</v>
      </c>
      <c r="D155" s="3" t="s">
        <v>701</v>
      </c>
      <c r="E155" s="2" t="s">
        <v>69</v>
      </c>
      <c r="F155" s="3">
        <v>46050.437291666669</v>
      </c>
      <c r="G155" s="3" t="s">
        <v>690</v>
      </c>
      <c r="H155" t="s">
        <v>759</v>
      </c>
      <c r="I155" t="s">
        <v>699</v>
      </c>
      <c r="J155" s="2" t="s">
        <v>2</v>
      </c>
      <c r="K155" s="2" t="s">
        <v>726</v>
      </c>
      <c r="L155" s="2" t="s">
        <v>80</v>
      </c>
      <c r="M155" s="2" t="s">
        <v>421</v>
      </c>
      <c r="N155" s="2">
        <v>7</v>
      </c>
      <c r="O155" s="2" t="s">
        <v>0</v>
      </c>
      <c r="P155" s="2">
        <v>25778640.34</v>
      </c>
      <c r="Q155" s="13">
        <v>180450482.38</v>
      </c>
      <c r="R155" t="s">
        <v>757</v>
      </c>
    </row>
    <row r="156" spans="1:18" x14ac:dyDescent="0.3">
      <c r="A156" s="2" t="s">
        <v>203</v>
      </c>
      <c r="B156" s="15">
        <v>46153</v>
      </c>
      <c r="C156" t="s">
        <v>717</v>
      </c>
      <c r="D156" s="3" t="s">
        <v>701</v>
      </c>
      <c r="E156" s="2" t="s">
        <v>69</v>
      </c>
      <c r="F156" s="3">
        <v>46050.437291666669</v>
      </c>
      <c r="G156" s="3" t="s">
        <v>690</v>
      </c>
      <c r="H156" t="s">
        <v>759</v>
      </c>
      <c r="I156" t="s">
        <v>699</v>
      </c>
      <c r="J156" s="2" t="s">
        <v>2</v>
      </c>
      <c r="K156" s="2" t="s">
        <v>726</v>
      </c>
      <c r="L156" s="2" t="s">
        <v>80</v>
      </c>
      <c r="M156" s="2" t="s">
        <v>473</v>
      </c>
      <c r="N156" s="2">
        <v>4</v>
      </c>
      <c r="O156" s="2" t="s">
        <v>0</v>
      </c>
      <c r="P156" s="2">
        <v>30619121.219999999</v>
      </c>
      <c r="Q156" s="13">
        <v>122476484.88</v>
      </c>
      <c r="R156" t="s">
        <v>757</v>
      </c>
    </row>
    <row r="157" spans="1:18" x14ac:dyDescent="0.3">
      <c r="A157" s="2" t="s">
        <v>203</v>
      </c>
      <c r="B157" s="15">
        <v>46153</v>
      </c>
      <c r="C157" t="s">
        <v>717</v>
      </c>
      <c r="D157" s="3" t="s">
        <v>701</v>
      </c>
      <c r="E157" s="2" t="s">
        <v>69</v>
      </c>
      <c r="F157" s="3">
        <v>46050.437291666669</v>
      </c>
      <c r="G157" s="3" t="s">
        <v>690</v>
      </c>
      <c r="H157" t="s">
        <v>759</v>
      </c>
      <c r="I157" t="s">
        <v>699</v>
      </c>
      <c r="J157" s="2" t="s">
        <v>2</v>
      </c>
      <c r="K157" s="2" t="s">
        <v>726</v>
      </c>
      <c r="L157" s="2" t="s">
        <v>80</v>
      </c>
      <c r="M157" s="2" t="s">
        <v>488</v>
      </c>
      <c r="N157" s="2">
        <v>2</v>
      </c>
      <c r="O157" s="2" t="s">
        <v>0</v>
      </c>
      <c r="P157" s="2">
        <v>46190492.020000003</v>
      </c>
      <c r="Q157" s="13">
        <v>92380984.040000007</v>
      </c>
      <c r="R157" t="s">
        <v>757</v>
      </c>
    </row>
    <row r="158" spans="1:18" x14ac:dyDescent="0.3">
      <c r="A158" s="2" t="s">
        <v>204</v>
      </c>
      <c r="B158" s="15">
        <v>46150</v>
      </c>
      <c r="C158" t="s">
        <v>717</v>
      </c>
      <c r="D158" s="3" t="s">
        <v>701</v>
      </c>
      <c r="E158" s="2" t="s">
        <v>19</v>
      </c>
      <c r="F158" s="3">
        <v>46142.657187500001</v>
      </c>
      <c r="G158" s="3" t="s">
        <v>716</v>
      </c>
      <c r="H158" t="s">
        <v>759</v>
      </c>
      <c r="I158" t="s">
        <v>701</v>
      </c>
      <c r="J158" s="2" t="s">
        <v>1</v>
      </c>
      <c r="K158" s="2" t="s">
        <v>1</v>
      </c>
      <c r="L158" s="2"/>
      <c r="M158" s="2" t="s">
        <v>489</v>
      </c>
      <c r="N158" s="2">
        <v>6</v>
      </c>
      <c r="O158" s="2" t="s">
        <v>0</v>
      </c>
      <c r="P158" s="2">
        <v>77900</v>
      </c>
      <c r="Q158" s="13">
        <v>467400</v>
      </c>
      <c r="R158" t="s">
        <v>757</v>
      </c>
    </row>
    <row r="159" spans="1:18" x14ac:dyDescent="0.3">
      <c r="A159" s="2" t="s">
        <v>205</v>
      </c>
      <c r="B159" s="15">
        <v>46150</v>
      </c>
      <c r="C159" t="s">
        <v>717</v>
      </c>
      <c r="D159" s="3" t="s">
        <v>701</v>
      </c>
      <c r="E159" s="2" t="s">
        <v>20</v>
      </c>
      <c r="F159" s="3">
        <v>46141.485914351862</v>
      </c>
      <c r="G159" s="3" t="s">
        <v>716</v>
      </c>
      <c r="H159" t="s">
        <v>759</v>
      </c>
      <c r="I159" t="s">
        <v>701</v>
      </c>
      <c r="J159" s="2" t="s">
        <v>1</v>
      </c>
      <c r="K159" s="2" t="s">
        <v>1</v>
      </c>
      <c r="L159" s="2"/>
      <c r="M159" s="2" t="s">
        <v>490</v>
      </c>
      <c r="N159" s="2">
        <v>1</v>
      </c>
      <c r="O159" s="2" t="s">
        <v>0</v>
      </c>
      <c r="P159" s="2">
        <v>349650.42</v>
      </c>
      <c r="Q159" s="13">
        <v>349650.42</v>
      </c>
      <c r="R159" t="s">
        <v>757</v>
      </c>
    </row>
    <row r="160" spans="1:18" x14ac:dyDescent="0.3">
      <c r="A160" s="2" t="s">
        <v>206</v>
      </c>
      <c r="B160" s="15">
        <v>46150</v>
      </c>
      <c r="C160" t="s">
        <v>717</v>
      </c>
      <c r="D160" s="3" t="s">
        <v>701</v>
      </c>
      <c r="E160" s="2" t="s">
        <v>21</v>
      </c>
      <c r="F160" s="3">
        <v>46140.707083333327</v>
      </c>
      <c r="G160" s="3" t="s">
        <v>716</v>
      </c>
      <c r="H160" t="s">
        <v>759</v>
      </c>
      <c r="I160" t="s">
        <v>701</v>
      </c>
      <c r="J160" s="2" t="s">
        <v>8</v>
      </c>
      <c r="K160" s="2" t="s">
        <v>726</v>
      </c>
      <c r="L160" s="2" t="s">
        <v>82</v>
      </c>
      <c r="M160" s="2" t="s">
        <v>491</v>
      </c>
      <c r="N160" s="2">
        <v>2</v>
      </c>
      <c r="O160" s="2" t="s">
        <v>0</v>
      </c>
      <c r="P160" s="2">
        <v>286333.61</v>
      </c>
      <c r="Q160" s="13">
        <v>572667.22</v>
      </c>
      <c r="R160" t="s">
        <v>757</v>
      </c>
    </row>
    <row r="161" spans="1:18" x14ac:dyDescent="0.3">
      <c r="A161" s="2" t="s">
        <v>207</v>
      </c>
      <c r="B161" s="15">
        <v>46150</v>
      </c>
      <c r="C161" t="s">
        <v>717</v>
      </c>
      <c r="D161" s="3" t="s">
        <v>701</v>
      </c>
      <c r="E161" s="2" t="s">
        <v>45</v>
      </c>
      <c r="F161" s="3">
        <v>46105.374236111107</v>
      </c>
      <c r="G161" s="3" t="s">
        <v>692</v>
      </c>
      <c r="H161" t="s">
        <v>759</v>
      </c>
      <c r="I161" t="s">
        <v>699</v>
      </c>
      <c r="J161" s="2" t="s">
        <v>2</v>
      </c>
      <c r="K161" s="2" t="s">
        <v>726</v>
      </c>
      <c r="L161" s="2" t="s">
        <v>80</v>
      </c>
      <c r="M161" s="2" t="s">
        <v>492</v>
      </c>
      <c r="N161" s="2">
        <v>1</v>
      </c>
      <c r="O161" s="2" t="s">
        <v>0</v>
      </c>
      <c r="P161" s="2">
        <v>618984.03</v>
      </c>
      <c r="Q161" s="13">
        <v>618984.03</v>
      </c>
      <c r="R161" t="s">
        <v>757</v>
      </c>
    </row>
    <row r="162" spans="1:18" x14ac:dyDescent="0.3">
      <c r="A162" s="2" t="s">
        <v>208</v>
      </c>
      <c r="B162" s="15">
        <v>46149</v>
      </c>
      <c r="C162" t="s">
        <v>717</v>
      </c>
      <c r="D162" s="3" t="s">
        <v>701</v>
      </c>
      <c r="E162" s="2" t="s">
        <v>26</v>
      </c>
      <c r="F162" s="3">
        <v>46129.370879629627</v>
      </c>
      <c r="G162" s="3" t="s">
        <v>716</v>
      </c>
      <c r="H162" t="s">
        <v>759</v>
      </c>
      <c r="I162" t="s">
        <v>701</v>
      </c>
      <c r="J162" s="2" t="s">
        <v>1</v>
      </c>
      <c r="K162" s="2" t="s">
        <v>1</v>
      </c>
      <c r="L162" s="2"/>
      <c r="M162" s="2" t="s">
        <v>493</v>
      </c>
      <c r="N162" s="2">
        <v>2</v>
      </c>
      <c r="O162" s="2" t="s">
        <v>0</v>
      </c>
      <c r="P162" s="2">
        <v>340200</v>
      </c>
      <c r="Q162" s="13">
        <v>680400</v>
      </c>
      <c r="R162" t="s">
        <v>757</v>
      </c>
    </row>
    <row r="163" spans="1:18" x14ac:dyDescent="0.3">
      <c r="A163" s="2" t="s">
        <v>208</v>
      </c>
      <c r="B163" s="15">
        <v>46149</v>
      </c>
      <c r="C163" t="s">
        <v>717</v>
      </c>
      <c r="D163" s="3" t="s">
        <v>701</v>
      </c>
      <c r="E163" s="2" t="s">
        <v>26</v>
      </c>
      <c r="F163" s="3">
        <v>46129.370879629627</v>
      </c>
      <c r="G163" s="3" t="s">
        <v>716</v>
      </c>
      <c r="H163" t="s">
        <v>759</v>
      </c>
      <c r="I163" t="s">
        <v>701</v>
      </c>
      <c r="J163" s="2" t="s">
        <v>1</v>
      </c>
      <c r="K163" s="2" t="s">
        <v>1</v>
      </c>
      <c r="L163" s="2"/>
      <c r="M163" s="2" t="s">
        <v>472</v>
      </c>
      <c r="N163" s="2">
        <v>3</v>
      </c>
      <c r="O163" s="2" t="s">
        <v>0</v>
      </c>
      <c r="P163" s="2">
        <v>282450.14</v>
      </c>
      <c r="Q163" s="13">
        <v>847350.42</v>
      </c>
      <c r="R163" t="s">
        <v>757</v>
      </c>
    </row>
    <row r="164" spans="1:18" x14ac:dyDescent="0.3">
      <c r="A164" s="2" t="s">
        <v>209</v>
      </c>
      <c r="B164" s="15">
        <v>46149</v>
      </c>
      <c r="C164" t="s">
        <v>717</v>
      </c>
      <c r="D164" s="3" t="s">
        <v>701</v>
      </c>
      <c r="E164" s="2" t="s">
        <v>34</v>
      </c>
      <c r="F164" s="3">
        <v>46106.67728009259</v>
      </c>
      <c r="G164" s="3" t="s">
        <v>692</v>
      </c>
      <c r="H164" t="s">
        <v>759</v>
      </c>
      <c r="I164" t="s">
        <v>699</v>
      </c>
      <c r="J164" s="2" t="s">
        <v>1</v>
      </c>
      <c r="K164" s="2" t="s">
        <v>1</v>
      </c>
      <c r="L164" s="2"/>
      <c r="M164" s="2" t="s">
        <v>472</v>
      </c>
      <c r="N164" s="2">
        <v>12</v>
      </c>
      <c r="O164" s="2" t="s">
        <v>0</v>
      </c>
      <c r="P164" s="2">
        <v>282450</v>
      </c>
      <c r="Q164" s="13">
        <v>3389400</v>
      </c>
      <c r="R164" t="s">
        <v>757</v>
      </c>
    </row>
    <row r="165" spans="1:18" x14ac:dyDescent="0.3">
      <c r="A165" s="2" t="s">
        <v>210</v>
      </c>
      <c r="B165" s="15">
        <v>46149</v>
      </c>
      <c r="C165" t="s">
        <v>717</v>
      </c>
      <c r="D165" s="3" t="s">
        <v>701</v>
      </c>
      <c r="E165" s="2" t="s">
        <v>25</v>
      </c>
      <c r="F165" s="3">
        <v>46134.696493055562</v>
      </c>
      <c r="G165" s="3" t="s">
        <v>716</v>
      </c>
      <c r="H165" t="s">
        <v>759</v>
      </c>
      <c r="I165" t="s">
        <v>701</v>
      </c>
      <c r="J165" s="2" t="s">
        <v>1</v>
      </c>
      <c r="K165" s="2" t="s">
        <v>1</v>
      </c>
      <c r="L165" s="2"/>
      <c r="M165" s="2" t="s">
        <v>493</v>
      </c>
      <c r="N165" s="2">
        <v>1</v>
      </c>
      <c r="O165" s="2" t="s">
        <v>0</v>
      </c>
      <c r="P165" s="2">
        <v>340200</v>
      </c>
      <c r="Q165" s="13">
        <v>340200</v>
      </c>
      <c r="R165" t="s">
        <v>757</v>
      </c>
    </row>
    <row r="166" spans="1:18" x14ac:dyDescent="0.3">
      <c r="A166" s="2" t="s">
        <v>211</v>
      </c>
      <c r="B166" s="15">
        <v>46149</v>
      </c>
      <c r="C166" t="s">
        <v>717</v>
      </c>
      <c r="D166" s="3" t="s">
        <v>701</v>
      </c>
      <c r="E166" s="2" t="s">
        <v>36</v>
      </c>
      <c r="F166" s="3">
        <v>46105.438032407408</v>
      </c>
      <c r="G166" s="3" t="s">
        <v>692</v>
      </c>
      <c r="H166" t="s">
        <v>759</v>
      </c>
      <c r="I166" t="s">
        <v>699</v>
      </c>
      <c r="J166" s="2" t="s">
        <v>8</v>
      </c>
      <c r="K166" s="2" t="s">
        <v>726</v>
      </c>
      <c r="L166" s="2" t="s">
        <v>90</v>
      </c>
      <c r="M166" s="2" t="s">
        <v>494</v>
      </c>
      <c r="N166" s="2">
        <v>80</v>
      </c>
      <c r="O166" s="2" t="s">
        <v>0</v>
      </c>
      <c r="P166" s="2">
        <v>19315.7</v>
      </c>
      <c r="Q166" s="13">
        <v>1545256</v>
      </c>
      <c r="R166" t="s">
        <v>757</v>
      </c>
    </row>
    <row r="167" spans="1:18" x14ac:dyDescent="0.3">
      <c r="A167" s="2" t="s">
        <v>212</v>
      </c>
      <c r="B167" s="15">
        <v>46149</v>
      </c>
      <c r="C167" t="s">
        <v>717</v>
      </c>
      <c r="D167" s="3" t="s">
        <v>701</v>
      </c>
      <c r="E167" s="2" t="s">
        <v>40</v>
      </c>
      <c r="F167" s="3">
        <v>46097.7343287037</v>
      </c>
      <c r="G167" s="3" t="s">
        <v>692</v>
      </c>
      <c r="H167" t="s">
        <v>759</v>
      </c>
      <c r="I167" t="s">
        <v>699</v>
      </c>
      <c r="J167" s="2" t="s">
        <v>1</v>
      </c>
      <c r="K167" s="2" t="s">
        <v>1</v>
      </c>
      <c r="L167" s="2"/>
      <c r="M167" s="2" t="s">
        <v>468</v>
      </c>
      <c r="N167" s="2">
        <v>3</v>
      </c>
      <c r="O167" s="2" t="s">
        <v>0</v>
      </c>
      <c r="P167" s="2">
        <v>1856250.14</v>
      </c>
      <c r="Q167" s="13">
        <v>5568750.4199999999</v>
      </c>
      <c r="R167" t="s">
        <v>757</v>
      </c>
    </row>
    <row r="168" spans="1:18" x14ac:dyDescent="0.3">
      <c r="A168" s="2" t="s">
        <v>213</v>
      </c>
      <c r="B168" s="15">
        <v>46148</v>
      </c>
      <c r="C168" t="s">
        <v>717</v>
      </c>
      <c r="D168" s="3" t="s">
        <v>701</v>
      </c>
      <c r="E168" s="2" t="s">
        <v>46</v>
      </c>
      <c r="F168" s="3">
        <v>46083.728831018518</v>
      </c>
      <c r="G168" s="3" t="s">
        <v>692</v>
      </c>
      <c r="H168" t="s">
        <v>759</v>
      </c>
      <c r="I168" t="s">
        <v>699</v>
      </c>
      <c r="J168" s="2" t="s">
        <v>8</v>
      </c>
      <c r="K168" s="2" t="s">
        <v>726</v>
      </c>
      <c r="L168" s="2" t="s">
        <v>7</v>
      </c>
      <c r="M168" s="2" t="s">
        <v>498</v>
      </c>
      <c r="N168" s="2">
        <v>1</v>
      </c>
      <c r="O168" s="2" t="s">
        <v>0</v>
      </c>
      <c r="P168" s="2">
        <v>909400.84</v>
      </c>
      <c r="Q168" s="13">
        <v>909400.84</v>
      </c>
      <c r="R168" t="s">
        <v>757</v>
      </c>
    </row>
    <row r="169" spans="1:18" x14ac:dyDescent="0.3">
      <c r="A169" s="2" t="s">
        <v>214</v>
      </c>
      <c r="B169" s="15">
        <v>46142</v>
      </c>
      <c r="C169" t="s">
        <v>716</v>
      </c>
      <c r="D169" s="3" t="s">
        <v>701</v>
      </c>
      <c r="E169" s="2" t="s">
        <v>24</v>
      </c>
      <c r="F169" s="3">
        <v>46135.528090277781</v>
      </c>
      <c r="G169" s="3" t="s">
        <v>716</v>
      </c>
      <c r="H169" t="s">
        <v>759</v>
      </c>
      <c r="I169" t="s">
        <v>701</v>
      </c>
      <c r="J169" s="2" t="s">
        <v>8</v>
      </c>
      <c r="K169" s="2" t="s">
        <v>726</v>
      </c>
      <c r="L169" s="2" t="s">
        <v>83</v>
      </c>
      <c r="M169" s="2" t="s">
        <v>499</v>
      </c>
      <c r="N169" s="2">
        <v>2</v>
      </c>
      <c r="O169" s="2" t="s">
        <v>0</v>
      </c>
      <c r="P169" s="2">
        <v>116752.52</v>
      </c>
      <c r="Q169" s="13">
        <v>233505.04</v>
      </c>
      <c r="R169" t="s">
        <v>757</v>
      </c>
    </row>
    <row r="170" spans="1:18" x14ac:dyDescent="0.3">
      <c r="A170" s="2" t="s">
        <v>214</v>
      </c>
      <c r="B170" s="15">
        <v>46142</v>
      </c>
      <c r="C170" t="s">
        <v>716</v>
      </c>
      <c r="D170" s="3" t="s">
        <v>701</v>
      </c>
      <c r="E170" s="2" t="s">
        <v>24</v>
      </c>
      <c r="F170" s="3">
        <v>46135.528090277781</v>
      </c>
      <c r="G170" s="3" t="s">
        <v>716</v>
      </c>
      <c r="H170" t="s">
        <v>759</v>
      </c>
      <c r="I170" t="s">
        <v>701</v>
      </c>
      <c r="J170" s="2" t="s">
        <v>8</v>
      </c>
      <c r="K170" s="2" t="s">
        <v>726</v>
      </c>
      <c r="L170" s="2" t="s">
        <v>83</v>
      </c>
      <c r="M170" s="2" t="s">
        <v>500</v>
      </c>
      <c r="N170" s="2">
        <v>2</v>
      </c>
      <c r="O170" s="2" t="s">
        <v>0</v>
      </c>
      <c r="P170" s="2">
        <v>91207.57</v>
      </c>
      <c r="Q170" s="13">
        <v>182415.14</v>
      </c>
      <c r="R170" t="s">
        <v>757</v>
      </c>
    </row>
    <row r="171" spans="1:18" x14ac:dyDescent="0.3">
      <c r="A171" s="2" t="s">
        <v>215</v>
      </c>
      <c r="B171" s="15">
        <v>46141</v>
      </c>
      <c r="C171" t="s">
        <v>716</v>
      </c>
      <c r="D171" s="3" t="s">
        <v>701</v>
      </c>
      <c r="E171" s="2" t="s">
        <v>46</v>
      </c>
      <c r="F171" s="3">
        <v>46083.728831018518</v>
      </c>
      <c r="G171" s="3" t="s">
        <v>692</v>
      </c>
      <c r="H171" t="s">
        <v>759</v>
      </c>
      <c r="I171" t="s">
        <v>699</v>
      </c>
      <c r="J171" s="2" t="s">
        <v>8</v>
      </c>
      <c r="K171" s="2" t="s">
        <v>726</v>
      </c>
      <c r="L171" s="2" t="s">
        <v>7</v>
      </c>
      <c r="M171" s="2" t="s">
        <v>501</v>
      </c>
      <c r="N171" s="2">
        <v>1</v>
      </c>
      <c r="O171" s="2" t="s">
        <v>0</v>
      </c>
      <c r="P171" s="2">
        <v>8551729.4100000001</v>
      </c>
      <c r="Q171" s="13">
        <v>8551729.4100000001</v>
      </c>
      <c r="R171" t="s">
        <v>757</v>
      </c>
    </row>
    <row r="172" spans="1:18" x14ac:dyDescent="0.3">
      <c r="A172" s="2" t="s">
        <v>216</v>
      </c>
      <c r="B172" s="15">
        <v>46139</v>
      </c>
      <c r="C172" t="s">
        <v>716</v>
      </c>
      <c r="D172" s="3" t="s">
        <v>701</v>
      </c>
      <c r="E172" s="2" t="s">
        <v>23</v>
      </c>
      <c r="F172" s="3">
        <v>46135.531724537039</v>
      </c>
      <c r="G172" s="3" t="s">
        <v>716</v>
      </c>
      <c r="H172" t="s">
        <v>759</v>
      </c>
      <c r="I172" t="s">
        <v>701</v>
      </c>
      <c r="J172" s="2" t="s">
        <v>8</v>
      </c>
      <c r="K172" s="2" t="s">
        <v>726</v>
      </c>
      <c r="L172" s="2" t="s">
        <v>79</v>
      </c>
      <c r="M172" s="2" t="s">
        <v>388</v>
      </c>
      <c r="N172" s="2">
        <v>17</v>
      </c>
      <c r="O172" s="2" t="s">
        <v>0</v>
      </c>
      <c r="P172" s="2">
        <v>275172.61</v>
      </c>
      <c r="Q172" s="13">
        <v>4677934.37</v>
      </c>
      <c r="R172" t="s">
        <v>757</v>
      </c>
    </row>
    <row r="173" spans="1:18" x14ac:dyDescent="0.3">
      <c r="A173" s="2" t="s">
        <v>216</v>
      </c>
      <c r="B173" s="15">
        <v>46139</v>
      </c>
      <c r="C173" t="s">
        <v>716</v>
      </c>
      <c r="D173" s="3" t="s">
        <v>701</v>
      </c>
      <c r="E173" s="2" t="s">
        <v>23</v>
      </c>
      <c r="F173" s="3">
        <v>46135.531724537039</v>
      </c>
      <c r="G173" s="3" t="s">
        <v>716</v>
      </c>
      <c r="H173" t="s">
        <v>759</v>
      </c>
      <c r="I173" t="s">
        <v>701</v>
      </c>
      <c r="J173" s="2" t="s">
        <v>8</v>
      </c>
      <c r="K173" s="2" t="s">
        <v>726</v>
      </c>
      <c r="L173" s="2" t="s">
        <v>82</v>
      </c>
      <c r="M173" s="2" t="s">
        <v>482</v>
      </c>
      <c r="N173" s="2">
        <v>47</v>
      </c>
      <c r="O173" s="2" t="s">
        <v>0</v>
      </c>
      <c r="P173" s="2">
        <v>3119161.9</v>
      </c>
      <c r="Q173" s="13">
        <v>146600609.29999998</v>
      </c>
      <c r="R173" t="s">
        <v>757</v>
      </c>
    </row>
    <row r="174" spans="1:18" x14ac:dyDescent="0.3">
      <c r="A174" s="2" t="s">
        <v>216</v>
      </c>
      <c r="B174" s="15">
        <v>46139</v>
      </c>
      <c r="C174" t="s">
        <v>716</v>
      </c>
      <c r="D174" s="3" t="s">
        <v>701</v>
      </c>
      <c r="E174" s="2" t="s">
        <v>23</v>
      </c>
      <c r="F174" s="2"/>
      <c r="G174" s="3" t="s">
        <v>690</v>
      </c>
      <c r="H174" t="s">
        <v>759</v>
      </c>
      <c r="I174" t="s">
        <v>699</v>
      </c>
      <c r="J174" s="2" t="s">
        <v>8</v>
      </c>
      <c r="K174" s="2" t="s">
        <v>726</v>
      </c>
      <c r="L174" s="2" t="s">
        <v>79</v>
      </c>
      <c r="M174" s="2" t="s">
        <v>483</v>
      </c>
      <c r="N174" s="2">
        <v>5</v>
      </c>
      <c r="O174" s="2" t="s">
        <v>0</v>
      </c>
      <c r="P174" s="2">
        <v>501180.67</v>
      </c>
      <c r="Q174" s="13">
        <v>2505903.35</v>
      </c>
      <c r="R174" t="s">
        <v>757</v>
      </c>
    </row>
    <row r="175" spans="1:18" x14ac:dyDescent="0.3">
      <c r="A175" s="2" t="s">
        <v>217</v>
      </c>
      <c r="B175" s="15">
        <v>46139</v>
      </c>
      <c r="C175" t="s">
        <v>716</v>
      </c>
      <c r="D175" s="3" t="s">
        <v>701</v>
      </c>
      <c r="E175" s="2" t="s">
        <v>39</v>
      </c>
      <c r="F175" s="3">
        <v>46099.383750000001</v>
      </c>
      <c r="G175" s="3" t="s">
        <v>692</v>
      </c>
      <c r="H175" t="s">
        <v>759</v>
      </c>
      <c r="I175" t="s">
        <v>699</v>
      </c>
      <c r="J175" s="2" t="s">
        <v>2</v>
      </c>
      <c r="K175" s="2" t="s">
        <v>726</v>
      </c>
      <c r="L175" s="2" t="s">
        <v>80</v>
      </c>
      <c r="M175" s="2" t="s">
        <v>502</v>
      </c>
      <c r="N175" s="2">
        <v>6</v>
      </c>
      <c r="O175" s="2" t="s">
        <v>0</v>
      </c>
      <c r="P175" s="2">
        <v>813231.51</v>
      </c>
      <c r="Q175" s="13">
        <v>4879389.0600000005</v>
      </c>
      <c r="R175" t="s">
        <v>757</v>
      </c>
    </row>
    <row r="176" spans="1:18" x14ac:dyDescent="0.3">
      <c r="A176" s="2" t="s">
        <v>218</v>
      </c>
      <c r="B176" s="15">
        <v>46136</v>
      </c>
      <c r="C176" t="s">
        <v>716</v>
      </c>
      <c r="D176" s="3" t="s">
        <v>701</v>
      </c>
      <c r="E176" s="2" t="s">
        <v>69</v>
      </c>
      <c r="F176" s="3">
        <v>46050.437291666669</v>
      </c>
      <c r="G176" s="3" t="s">
        <v>690</v>
      </c>
      <c r="H176" t="s">
        <v>759</v>
      </c>
      <c r="I176" t="s">
        <v>699</v>
      </c>
      <c r="J176" s="2" t="s">
        <v>2</v>
      </c>
      <c r="K176" s="2" t="s">
        <v>726</v>
      </c>
      <c r="L176" s="2" t="s">
        <v>80</v>
      </c>
      <c r="M176" s="2" t="s">
        <v>503</v>
      </c>
      <c r="N176" s="2">
        <v>23</v>
      </c>
      <c r="O176" s="2" t="s">
        <v>0</v>
      </c>
      <c r="P176" s="2">
        <v>661674.75</v>
      </c>
      <c r="Q176" s="13">
        <v>15218519.25</v>
      </c>
      <c r="R176" t="s">
        <v>757</v>
      </c>
    </row>
    <row r="177" spans="1:18" x14ac:dyDescent="0.3">
      <c r="A177" s="2" t="s">
        <v>219</v>
      </c>
      <c r="B177" s="15">
        <v>46136</v>
      </c>
      <c r="C177" t="s">
        <v>716</v>
      </c>
      <c r="D177" s="3" t="s">
        <v>701</v>
      </c>
      <c r="E177" s="2" t="s">
        <v>69</v>
      </c>
      <c r="F177" s="3">
        <v>46050.437291666669</v>
      </c>
      <c r="G177" s="3" t="s">
        <v>690</v>
      </c>
      <c r="H177" t="s">
        <v>759</v>
      </c>
      <c r="I177" t="s">
        <v>699</v>
      </c>
      <c r="J177" s="2" t="s">
        <v>2</v>
      </c>
      <c r="K177" s="2" t="s">
        <v>726</v>
      </c>
      <c r="L177" s="2" t="s">
        <v>80</v>
      </c>
      <c r="M177" s="2" t="s">
        <v>504</v>
      </c>
      <c r="N177" s="2">
        <v>1120</v>
      </c>
      <c r="O177" s="2" t="s">
        <v>0</v>
      </c>
      <c r="P177" s="2">
        <v>45388.63</v>
      </c>
      <c r="Q177" s="13">
        <v>50835265.599999994</v>
      </c>
      <c r="R177" t="s">
        <v>757</v>
      </c>
    </row>
    <row r="178" spans="1:18" x14ac:dyDescent="0.3">
      <c r="A178" s="2" t="s">
        <v>219</v>
      </c>
      <c r="B178" s="15">
        <v>46136</v>
      </c>
      <c r="C178" t="s">
        <v>716</v>
      </c>
      <c r="D178" s="3" t="s">
        <v>701</v>
      </c>
      <c r="E178" s="2" t="s">
        <v>69</v>
      </c>
      <c r="F178" s="3">
        <v>46050.437291666669</v>
      </c>
      <c r="G178" s="3" t="s">
        <v>690</v>
      </c>
      <c r="H178" t="s">
        <v>759</v>
      </c>
      <c r="I178" t="s">
        <v>699</v>
      </c>
      <c r="J178" s="2" t="s">
        <v>2</v>
      </c>
      <c r="K178" s="2" t="s">
        <v>726</v>
      </c>
      <c r="L178" s="2" t="s">
        <v>80</v>
      </c>
      <c r="M178" s="2" t="s">
        <v>505</v>
      </c>
      <c r="N178" s="2">
        <v>2118</v>
      </c>
      <c r="O178" s="2" t="s">
        <v>0</v>
      </c>
      <c r="P178" s="2">
        <v>53398.39</v>
      </c>
      <c r="Q178" s="13">
        <v>113097790.02</v>
      </c>
      <c r="R178" t="s">
        <v>757</v>
      </c>
    </row>
    <row r="179" spans="1:18" x14ac:dyDescent="0.3">
      <c r="A179" s="2" t="s">
        <v>220</v>
      </c>
      <c r="B179" s="15">
        <v>46136</v>
      </c>
      <c r="C179" t="s">
        <v>716</v>
      </c>
      <c r="D179" s="3" t="s">
        <v>701</v>
      </c>
      <c r="E179" s="2" t="s">
        <v>62</v>
      </c>
      <c r="F179" s="3">
        <v>46126.538472222222</v>
      </c>
      <c r="G179" s="3" t="s">
        <v>716</v>
      </c>
      <c r="H179" t="s">
        <v>759</v>
      </c>
      <c r="I179" t="s">
        <v>701</v>
      </c>
      <c r="J179" s="2" t="s">
        <v>2</v>
      </c>
      <c r="K179" s="2" t="s">
        <v>726</v>
      </c>
      <c r="L179" s="2" t="s">
        <v>80</v>
      </c>
      <c r="M179" s="2" t="s">
        <v>504</v>
      </c>
      <c r="N179" s="2">
        <v>80</v>
      </c>
      <c r="O179" s="2" t="s">
        <v>0</v>
      </c>
      <c r="P179" s="2">
        <v>44463.040000000001</v>
      </c>
      <c r="Q179" s="13">
        <v>3557043.2</v>
      </c>
      <c r="R179" t="s">
        <v>757</v>
      </c>
    </row>
    <row r="180" spans="1:18" x14ac:dyDescent="0.3">
      <c r="A180" s="2" t="s">
        <v>220</v>
      </c>
      <c r="B180" s="15">
        <v>46136</v>
      </c>
      <c r="C180" t="s">
        <v>716</v>
      </c>
      <c r="D180" s="3" t="s">
        <v>701</v>
      </c>
      <c r="E180" s="2" t="s">
        <v>62</v>
      </c>
      <c r="F180" s="3">
        <v>46126.538472222222</v>
      </c>
      <c r="G180" s="3" t="s">
        <v>716</v>
      </c>
      <c r="H180" t="s">
        <v>759</v>
      </c>
      <c r="I180" t="s">
        <v>701</v>
      </c>
      <c r="J180" s="2" t="s">
        <v>2</v>
      </c>
      <c r="K180" s="2" t="s">
        <v>726</v>
      </c>
      <c r="L180" s="2" t="s">
        <v>80</v>
      </c>
      <c r="M180" s="2" t="s">
        <v>505</v>
      </c>
      <c r="N180" s="2">
        <v>434</v>
      </c>
      <c r="O180" s="2" t="s">
        <v>0</v>
      </c>
      <c r="P180" s="2">
        <v>53398.39</v>
      </c>
      <c r="Q180" s="13">
        <v>23174901.259999998</v>
      </c>
      <c r="R180" t="s">
        <v>757</v>
      </c>
    </row>
    <row r="181" spans="1:18" x14ac:dyDescent="0.3">
      <c r="A181" s="2" t="s">
        <v>220</v>
      </c>
      <c r="B181" s="15">
        <v>46136</v>
      </c>
      <c r="C181" t="s">
        <v>716</v>
      </c>
      <c r="D181" s="3" t="s">
        <v>701</v>
      </c>
      <c r="E181" s="2" t="s">
        <v>62</v>
      </c>
      <c r="F181" s="3">
        <v>46126.538472222222</v>
      </c>
      <c r="G181" s="3" t="s">
        <v>716</v>
      </c>
      <c r="H181" t="s">
        <v>759</v>
      </c>
      <c r="I181" t="s">
        <v>701</v>
      </c>
      <c r="J181" s="2" t="s">
        <v>2</v>
      </c>
      <c r="K181" s="2" t="s">
        <v>726</v>
      </c>
      <c r="L181" s="2" t="s">
        <v>80</v>
      </c>
      <c r="M181" s="2" t="s">
        <v>506</v>
      </c>
      <c r="N181" s="2">
        <v>316</v>
      </c>
      <c r="O181" s="2" t="s">
        <v>0</v>
      </c>
      <c r="P181" s="2">
        <v>44463.05</v>
      </c>
      <c r="Q181" s="13">
        <v>14050323.800000001</v>
      </c>
      <c r="R181" t="s">
        <v>757</v>
      </c>
    </row>
    <row r="182" spans="1:18" x14ac:dyDescent="0.3">
      <c r="A182" s="2" t="s">
        <v>221</v>
      </c>
      <c r="B182" s="15">
        <v>46136</v>
      </c>
      <c r="C182" t="s">
        <v>716</v>
      </c>
      <c r="D182" s="3" t="s">
        <v>701</v>
      </c>
      <c r="E182" s="2" t="s">
        <v>68</v>
      </c>
      <c r="F182" s="3">
        <v>46050.450659722221</v>
      </c>
      <c r="G182" s="3" t="s">
        <v>690</v>
      </c>
      <c r="H182" t="s">
        <v>759</v>
      </c>
      <c r="I182" t="s">
        <v>699</v>
      </c>
      <c r="J182" s="2" t="s">
        <v>2</v>
      </c>
      <c r="K182" s="2" t="s">
        <v>726</v>
      </c>
      <c r="L182" s="2" t="s">
        <v>80</v>
      </c>
      <c r="M182" s="2" t="s">
        <v>505</v>
      </c>
      <c r="N182" s="2">
        <v>136</v>
      </c>
      <c r="O182" s="2" t="s">
        <v>0</v>
      </c>
      <c r="P182" s="2">
        <v>53398.38</v>
      </c>
      <c r="Q182" s="13">
        <v>7262179.6799999997</v>
      </c>
      <c r="R182" t="s">
        <v>757</v>
      </c>
    </row>
    <row r="183" spans="1:18" x14ac:dyDescent="0.3">
      <c r="A183" s="2" t="s">
        <v>222</v>
      </c>
      <c r="B183" s="15">
        <v>46135</v>
      </c>
      <c r="C183" t="s">
        <v>716</v>
      </c>
      <c r="D183" s="3" t="s">
        <v>701</v>
      </c>
      <c r="E183" s="2" t="s">
        <v>223</v>
      </c>
      <c r="F183" s="3">
        <v>45994.679652777777</v>
      </c>
      <c r="G183" s="3" t="s">
        <v>724</v>
      </c>
      <c r="H183" t="s">
        <v>760</v>
      </c>
      <c r="I183" t="s">
        <v>703</v>
      </c>
      <c r="J183" s="2" t="s">
        <v>1</v>
      </c>
      <c r="K183" s="2" t="s">
        <v>6</v>
      </c>
      <c r="L183" s="2" t="s">
        <v>6</v>
      </c>
      <c r="M183" s="2" t="s">
        <v>507</v>
      </c>
      <c r="N183" s="2">
        <v>1</v>
      </c>
      <c r="O183" s="2" t="s">
        <v>0</v>
      </c>
      <c r="P183" s="2">
        <v>1154862.18</v>
      </c>
      <c r="Q183" s="13">
        <v>1154862.18</v>
      </c>
      <c r="R183" t="s">
        <v>757</v>
      </c>
    </row>
    <row r="184" spans="1:18" x14ac:dyDescent="0.3">
      <c r="A184" s="2" t="s">
        <v>224</v>
      </c>
      <c r="B184" s="15">
        <v>46135</v>
      </c>
      <c r="C184" t="s">
        <v>716</v>
      </c>
      <c r="D184" s="3" t="s">
        <v>701</v>
      </c>
      <c r="E184" s="2" t="s">
        <v>223</v>
      </c>
      <c r="F184" s="3">
        <v>45994.679652777777</v>
      </c>
      <c r="G184" s="3" t="s">
        <v>724</v>
      </c>
      <c r="H184" t="s">
        <v>760</v>
      </c>
      <c r="I184" t="s">
        <v>703</v>
      </c>
      <c r="J184" s="2" t="s">
        <v>1</v>
      </c>
      <c r="K184" s="2" t="s">
        <v>6</v>
      </c>
      <c r="L184" s="2" t="s">
        <v>6</v>
      </c>
      <c r="M184" s="2" t="s">
        <v>507</v>
      </c>
      <c r="N184" s="2">
        <v>10</v>
      </c>
      <c r="O184" s="2" t="s">
        <v>0</v>
      </c>
      <c r="P184" s="2">
        <v>863962.02</v>
      </c>
      <c r="Q184" s="13">
        <v>8639620.1999999993</v>
      </c>
      <c r="R184" t="s">
        <v>757</v>
      </c>
    </row>
    <row r="185" spans="1:18" x14ac:dyDescent="0.3">
      <c r="A185" s="2" t="s">
        <v>225</v>
      </c>
      <c r="B185" s="15">
        <v>46135</v>
      </c>
      <c r="C185" t="s">
        <v>716</v>
      </c>
      <c r="D185" s="3" t="s">
        <v>701</v>
      </c>
      <c r="E185" s="2" t="s">
        <v>223</v>
      </c>
      <c r="F185" s="3">
        <v>45994.679652777777</v>
      </c>
      <c r="G185" s="3" t="s">
        <v>724</v>
      </c>
      <c r="H185" t="s">
        <v>760</v>
      </c>
      <c r="I185" t="s">
        <v>703</v>
      </c>
      <c r="J185" s="2" t="s">
        <v>1</v>
      </c>
      <c r="K185" s="2" t="s">
        <v>6</v>
      </c>
      <c r="L185" s="2" t="s">
        <v>6</v>
      </c>
      <c r="M185" s="2" t="s">
        <v>507</v>
      </c>
      <c r="N185" s="2">
        <v>2</v>
      </c>
      <c r="O185" s="2" t="s">
        <v>0</v>
      </c>
      <c r="P185" s="2">
        <v>863962.19</v>
      </c>
      <c r="Q185" s="13">
        <v>1727924.38</v>
      </c>
      <c r="R185" t="s">
        <v>757</v>
      </c>
    </row>
    <row r="186" spans="1:18" x14ac:dyDescent="0.3">
      <c r="A186" s="2" t="s">
        <v>226</v>
      </c>
      <c r="B186" s="15">
        <v>46134</v>
      </c>
      <c r="C186" t="s">
        <v>716</v>
      </c>
      <c r="D186" s="3" t="s">
        <v>701</v>
      </c>
      <c r="E186" s="2" t="s">
        <v>69</v>
      </c>
      <c r="F186" s="3">
        <v>46050.437291666669</v>
      </c>
      <c r="G186" s="3" t="s">
        <v>690</v>
      </c>
      <c r="H186" t="s">
        <v>759</v>
      </c>
      <c r="I186" t="s">
        <v>699</v>
      </c>
      <c r="J186" s="2" t="s">
        <v>2</v>
      </c>
      <c r="K186" s="2" t="s">
        <v>726</v>
      </c>
      <c r="L186" s="2" t="s">
        <v>80</v>
      </c>
      <c r="M186" s="2" t="s">
        <v>508</v>
      </c>
      <c r="N186" s="2">
        <v>3</v>
      </c>
      <c r="O186" s="2" t="s">
        <v>0</v>
      </c>
      <c r="P186" s="2">
        <v>15791709.24</v>
      </c>
      <c r="Q186" s="13">
        <v>47375127.719999999</v>
      </c>
      <c r="R186" t="s">
        <v>757</v>
      </c>
    </row>
    <row r="187" spans="1:18" x14ac:dyDescent="0.3">
      <c r="A187" s="2" t="s">
        <v>226</v>
      </c>
      <c r="B187" s="15">
        <v>46134</v>
      </c>
      <c r="C187" t="s">
        <v>716</v>
      </c>
      <c r="D187" s="3" t="s">
        <v>701</v>
      </c>
      <c r="E187" s="2" t="s">
        <v>69</v>
      </c>
      <c r="F187" s="3">
        <v>46050.437291666669</v>
      </c>
      <c r="G187" s="3" t="s">
        <v>690</v>
      </c>
      <c r="H187" t="s">
        <v>759</v>
      </c>
      <c r="I187" t="s">
        <v>699</v>
      </c>
      <c r="J187" s="2" t="s">
        <v>2</v>
      </c>
      <c r="K187" s="2" t="s">
        <v>726</v>
      </c>
      <c r="L187" s="2" t="s">
        <v>80</v>
      </c>
      <c r="M187" s="2" t="s">
        <v>509</v>
      </c>
      <c r="N187" s="2">
        <v>3</v>
      </c>
      <c r="O187" s="2" t="s">
        <v>0</v>
      </c>
      <c r="P187" s="2">
        <v>18037284.030000001</v>
      </c>
      <c r="Q187" s="13">
        <v>54111852.090000004</v>
      </c>
      <c r="R187" t="s">
        <v>757</v>
      </c>
    </row>
    <row r="188" spans="1:18" x14ac:dyDescent="0.3">
      <c r="A188" s="2" t="s">
        <v>227</v>
      </c>
      <c r="B188" s="15">
        <v>46132</v>
      </c>
      <c r="C188" t="s">
        <v>716</v>
      </c>
      <c r="D188" s="3" t="s">
        <v>701</v>
      </c>
      <c r="E188" s="2" t="s">
        <v>228</v>
      </c>
      <c r="F188" s="3">
        <v>46006.546851851846</v>
      </c>
      <c r="G188" s="3" t="s">
        <v>724</v>
      </c>
      <c r="H188" t="s">
        <v>760</v>
      </c>
      <c r="I188" t="s">
        <v>703</v>
      </c>
      <c r="J188" s="2" t="s">
        <v>1</v>
      </c>
      <c r="K188" s="2" t="s">
        <v>6</v>
      </c>
      <c r="L188" s="2" t="s">
        <v>6</v>
      </c>
      <c r="M188" s="2" t="s">
        <v>510</v>
      </c>
      <c r="N188" s="2">
        <v>8</v>
      </c>
      <c r="O188" s="2" t="s">
        <v>0</v>
      </c>
      <c r="P188" s="2">
        <v>1273000</v>
      </c>
      <c r="Q188" s="13">
        <v>10184000</v>
      </c>
      <c r="R188" t="s">
        <v>757</v>
      </c>
    </row>
    <row r="189" spans="1:18" x14ac:dyDescent="0.3">
      <c r="A189" s="2" t="s">
        <v>227</v>
      </c>
      <c r="B189" s="15">
        <v>46132</v>
      </c>
      <c r="C189" t="s">
        <v>716</v>
      </c>
      <c r="D189" s="3" t="s">
        <v>701</v>
      </c>
      <c r="E189" s="2" t="s">
        <v>228</v>
      </c>
      <c r="F189" s="3">
        <v>46006.546851851846</v>
      </c>
      <c r="G189" s="3" t="s">
        <v>724</v>
      </c>
      <c r="H189" t="s">
        <v>760</v>
      </c>
      <c r="I189" t="s">
        <v>703</v>
      </c>
      <c r="J189" s="2" t="s">
        <v>1</v>
      </c>
      <c r="K189" s="2" t="s">
        <v>6</v>
      </c>
      <c r="L189" s="2" t="s">
        <v>6</v>
      </c>
      <c r="M189" s="2" t="s">
        <v>511</v>
      </c>
      <c r="N189" s="2">
        <v>1</v>
      </c>
      <c r="O189" s="2" t="s">
        <v>0</v>
      </c>
      <c r="P189" s="2">
        <v>3530357.98</v>
      </c>
      <c r="Q189" s="13">
        <v>3530357.98</v>
      </c>
      <c r="R189" t="s">
        <v>757</v>
      </c>
    </row>
    <row r="190" spans="1:18" x14ac:dyDescent="0.3">
      <c r="A190" s="2" t="s">
        <v>229</v>
      </c>
      <c r="B190" s="15">
        <v>46129</v>
      </c>
      <c r="C190" t="s">
        <v>716</v>
      </c>
      <c r="D190" s="3" t="s">
        <v>701</v>
      </c>
      <c r="E190" s="2" t="s">
        <v>31</v>
      </c>
      <c r="F190" s="3">
        <v>46119.378518518519</v>
      </c>
      <c r="G190" s="3" t="s">
        <v>716</v>
      </c>
      <c r="H190" t="s">
        <v>759</v>
      </c>
      <c r="I190" t="s">
        <v>701</v>
      </c>
      <c r="J190" s="2" t="s">
        <v>1</v>
      </c>
      <c r="K190" s="2" t="s">
        <v>1</v>
      </c>
      <c r="L190" s="2"/>
      <c r="M190" s="2" t="s">
        <v>481</v>
      </c>
      <c r="N190" s="2">
        <v>1</v>
      </c>
      <c r="O190" s="2" t="s">
        <v>0</v>
      </c>
      <c r="P190" s="2">
        <v>1831394.96</v>
      </c>
      <c r="Q190" s="13">
        <v>1831394.96</v>
      </c>
      <c r="R190" t="s">
        <v>757</v>
      </c>
    </row>
    <row r="191" spans="1:18" x14ac:dyDescent="0.3">
      <c r="A191" s="2" t="s">
        <v>230</v>
      </c>
      <c r="B191" s="15">
        <v>46129</v>
      </c>
      <c r="C191" t="s">
        <v>716</v>
      </c>
      <c r="D191" s="3" t="s">
        <v>701</v>
      </c>
      <c r="E191" s="2" t="s">
        <v>36</v>
      </c>
      <c r="F191" s="3">
        <v>46105.438032407408</v>
      </c>
      <c r="G191" s="3" t="s">
        <v>692</v>
      </c>
      <c r="H191" t="s">
        <v>759</v>
      </c>
      <c r="I191" t="s">
        <v>699</v>
      </c>
      <c r="J191" s="2" t="s">
        <v>8</v>
      </c>
      <c r="K191" s="2" t="s">
        <v>726</v>
      </c>
      <c r="L191" s="2" t="s">
        <v>90</v>
      </c>
      <c r="M191" s="2" t="s">
        <v>416</v>
      </c>
      <c r="N191" s="2">
        <v>3</v>
      </c>
      <c r="O191" s="2" t="s">
        <v>0</v>
      </c>
      <c r="P191" s="2">
        <v>259061.62</v>
      </c>
      <c r="Q191" s="13">
        <v>777184.86</v>
      </c>
      <c r="R191" t="s">
        <v>757</v>
      </c>
    </row>
    <row r="192" spans="1:18" x14ac:dyDescent="0.3">
      <c r="A192" s="2" t="s">
        <v>231</v>
      </c>
      <c r="B192" s="15">
        <v>46125</v>
      </c>
      <c r="C192" t="s">
        <v>716</v>
      </c>
      <c r="D192" s="3" t="s">
        <v>701</v>
      </c>
      <c r="E192" s="2"/>
      <c r="F192" s="2"/>
      <c r="G192" s="3" t="s">
        <v>690</v>
      </c>
      <c r="H192" t="s">
        <v>759</v>
      </c>
      <c r="I192" t="s">
        <v>699</v>
      </c>
      <c r="J192" s="2" t="s">
        <v>1</v>
      </c>
      <c r="K192" s="2" t="s">
        <v>6</v>
      </c>
      <c r="L192" s="2" t="s">
        <v>6</v>
      </c>
      <c r="M192" s="2" t="s">
        <v>512</v>
      </c>
      <c r="N192" s="2">
        <v>2</v>
      </c>
      <c r="O192" s="2" t="s">
        <v>0</v>
      </c>
      <c r="P192" s="2">
        <v>806431.09</v>
      </c>
      <c r="Q192" s="13">
        <v>1612862.18</v>
      </c>
      <c r="R192" t="s">
        <v>757</v>
      </c>
    </row>
    <row r="193" spans="1:18" x14ac:dyDescent="0.3">
      <c r="A193" s="2" t="s">
        <v>231</v>
      </c>
      <c r="B193" s="15">
        <v>46125</v>
      </c>
      <c r="C193" t="s">
        <v>716</v>
      </c>
      <c r="D193" s="3" t="s">
        <v>701</v>
      </c>
      <c r="E193" s="2"/>
      <c r="F193" s="2"/>
      <c r="G193" s="3" t="s">
        <v>690</v>
      </c>
      <c r="H193" t="s">
        <v>759</v>
      </c>
      <c r="I193" t="s">
        <v>699</v>
      </c>
      <c r="J193" s="2" t="s">
        <v>1</v>
      </c>
      <c r="K193" s="2" t="s">
        <v>6</v>
      </c>
      <c r="L193" s="2" t="s">
        <v>6</v>
      </c>
      <c r="M193" s="2" t="s">
        <v>513</v>
      </c>
      <c r="N193" s="2">
        <v>2</v>
      </c>
      <c r="O193" s="2" t="s">
        <v>0</v>
      </c>
      <c r="P193" s="2">
        <v>1204880.67</v>
      </c>
      <c r="Q193" s="13">
        <v>2409761.34</v>
      </c>
      <c r="R193" t="s">
        <v>757</v>
      </c>
    </row>
    <row r="194" spans="1:18" x14ac:dyDescent="0.3">
      <c r="A194" s="2" t="s">
        <v>231</v>
      </c>
      <c r="B194" s="15">
        <v>46125</v>
      </c>
      <c r="C194" t="s">
        <v>716</v>
      </c>
      <c r="D194" s="3" t="s">
        <v>701</v>
      </c>
      <c r="E194" s="2"/>
      <c r="F194" s="2"/>
      <c r="G194" s="3" t="s">
        <v>690</v>
      </c>
      <c r="H194" t="s">
        <v>759</v>
      </c>
      <c r="I194" t="s">
        <v>699</v>
      </c>
      <c r="J194" s="2" t="s">
        <v>1</v>
      </c>
      <c r="K194" s="2" t="s">
        <v>6</v>
      </c>
      <c r="L194" s="2" t="s">
        <v>6</v>
      </c>
      <c r="M194" s="2" t="s">
        <v>514</v>
      </c>
      <c r="N194" s="2">
        <v>6</v>
      </c>
      <c r="O194" s="2" t="s">
        <v>0</v>
      </c>
      <c r="P194" s="2">
        <v>1122154.06</v>
      </c>
      <c r="Q194" s="13">
        <v>6732924.3600000003</v>
      </c>
      <c r="R194" t="s">
        <v>757</v>
      </c>
    </row>
    <row r="195" spans="1:18" x14ac:dyDescent="0.3">
      <c r="A195" s="2" t="s">
        <v>231</v>
      </c>
      <c r="B195" s="15">
        <v>46125</v>
      </c>
      <c r="C195" t="s">
        <v>716</v>
      </c>
      <c r="D195" s="3" t="s">
        <v>701</v>
      </c>
      <c r="E195" s="2"/>
      <c r="F195" s="2"/>
      <c r="G195" s="3" t="s">
        <v>690</v>
      </c>
      <c r="H195" t="s">
        <v>759</v>
      </c>
      <c r="I195" t="s">
        <v>699</v>
      </c>
      <c r="J195" s="2" t="s">
        <v>1</v>
      </c>
      <c r="K195" s="2" t="s">
        <v>6</v>
      </c>
      <c r="L195" s="2" t="s">
        <v>6</v>
      </c>
      <c r="M195" s="2" t="s">
        <v>515</v>
      </c>
      <c r="N195" s="2">
        <v>3</v>
      </c>
      <c r="O195" s="2" t="s">
        <v>0</v>
      </c>
      <c r="P195" s="2">
        <v>985838.1</v>
      </c>
      <c r="Q195" s="13">
        <v>2957514.3</v>
      </c>
      <c r="R195" t="s">
        <v>757</v>
      </c>
    </row>
    <row r="196" spans="1:18" x14ac:dyDescent="0.3">
      <c r="A196" s="2" t="s">
        <v>232</v>
      </c>
      <c r="B196" s="15">
        <v>46125</v>
      </c>
      <c r="C196" t="s">
        <v>716</v>
      </c>
      <c r="D196" s="3" t="s">
        <v>701</v>
      </c>
      <c r="E196" s="2"/>
      <c r="F196" s="2"/>
      <c r="G196" s="3" t="s">
        <v>690</v>
      </c>
      <c r="H196" t="s">
        <v>759</v>
      </c>
      <c r="I196" t="s">
        <v>699</v>
      </c>
      <c r="J196" s="2" t="s">
        <v>2</v>
      </c>
      <c r="K196" s="2" t="s">
        <v>726</v>
      </c>
      <c r="L196" s="2" t="s">
        <v>80</v>
      </c>
      <c r="M196" s="2" t="s">
        <v>477</v>
      </c>
      <c r="N196" s="2">
        <v>1</v>
      </c>
      <c r="O196" s="2" t="s">
        <v>0</v>
      </c>
      <c r="P196" s="2">
        <v>18290575.629999999</v>
      </c>
      <c r="Q196" s="13">
        <v>18290575.629999999</v>
      </c>
      <c r="R196" t="s">
        <v>757</v>
      </c>
    </row>
    <row r="197" spans="1:18" x14ac:dyDescent="0.3">
      <c r="A197" s="2" t="s">
        <v>233</v>
      </c>
      <c r="B197" s="15">
        <v>46125</v>
      </c>
      <c r="C197" t="s">
        <v>716</v>
      </c>
      <c r="D197" s="3" t="s">
        <v>701</v>
      </c>
      <c r="E197" s="2" t="s">
        <v>29</v>
      </c>
      <c r="F197" s="3">
        <v>46121.656342592592</v>
      </c>
      <c r="G197" s="3" t="s">
        <v>716</v>
      </c>
      <c r="H197" t="s">
        <v>759</v>
      </c>
      <c r="I197" t="s">
        <v>701</v>
      </c>
      <c r="J197" s="2" t="s">
        <v>1</v>
      </c>
      <c r="K197" s="2" t="s">
        <v>745</v>
      </c>
      <c r="L197" s="2" t="s">
        <v>79</v>
      </c>
      <c r="M197" s="2" t="s">
        <v>516</v>
      </c>
      <c r="N197" s="2">
        <v>10</v>
      </c>
      <c r="O197" s="2" t="s">
        <v>0</v>
      </c>
      <c r="P197" s="2">
        <v>13260.34</v>
      </c>
      <c r="Q197" s="13">
        <v>132603.4</v>
      </c>
      <c r="R197" t="s">
        <v>757</v>
      </c>
    </row>
    <row r="198" spans="1:18" x14ac:dyDescent="0.3">
      <c r="A198" s="2" t="s">
        <v>234</v>
      </c>
      <c r="B198" s="15">
        <v>46125</v>
      </c>
      <c r="C198" t="s">
        <v>716</v>
      </c>
      <c r="D198" s="3" t="s">
        <v>701</v>
      </c>
      <c r="E198" s="2" t="s">
        <v>33</v>
      </c>
      <c r="F198" s="3">
        <v>46107.741574074083</v>
      </c>
      <c r="G198" s="3" t="s">
        <v>692</v>
      </c>
      <c r="H198" t="s">
        <v>759</v>
      </c>
      <c r="I198" t="s">
        <v>699</v>
      </c>
      <c r="J198" s="2" t="s">
        <v>1</v>
      </c>
      <c r="K198" s="2" t="s">
        <v>1</v>
      </c>
      <c r="L198" s="2"/>
      <c r="M198" s="2" t="s">
        <v>420</v>
      </c>
      <c r="N198" s="2">
        <v>64</v>
      </c>
      <c r="O198" s="2" t="s">
        <v>0</v>
      </c>
      <c r="P198" s="2">
        <v>75080</v>
      </c>
      <c r="Q198" s="13">
        <v>4805120</v>
      </c>
      <c r="R198" t="s">
        <v>757</v>
      </c>
    </row>
    <row r="199" spans="1:18" x14ac:dyDescent="0.3">
      <c r="A199" s="2" t="s">
        <v>235</v>
      </c>
      <c r="B199" s="15">
        <v>46125</v>
      </c>
      <c r="C199" t="s">
        <v>716</v>
      </c>
      <c r="D199" s="3" t="s">
        <v>701</v>
      </c>
      <c r="E199" s="2" t="s">
        <v>236</v>
      </c>
      <c r="F199" s="3">
        <v>46008.42564814815</v>
      </c>
      <c r="G199" s="3" t="s">
        <v>724</v>
      </c>
      <c r="H199" t="s">
        <v>760</v>
      </c>
      <c r="I199" t="s">
        <v>703</v>
      </c>
      <c r="J199" s="2" t="s">
        <v>8</v>
      </c>
      <c r="K199" s="2" t="s">
        <v>726</v>
      </c>
      <c r="L199" s="2" t="s">
        <v>84</v>
      </c>
      <c r="M199" s="2" t="s">
        <v>517</v>
      </c>
      <c r="N199" s="2">
        <v>1</v>
      </c>
      <c r="O199" s="2" t="s">
        <v>0</v>
      </c>
      <c r="P199" s="2">
        <v>47284.87</v>
      </c>
      <c r="Q199" s="13">
        <v>47284.87</v>
      </c>
      <c r="R199" t="s">
        <v>757</v>
      </c>
    </row>
    <row r="200" spans="1:18" x14ac:dyDescent="0.3">
      <c r="A200" s="2" t="s">
        <v>237</v>
      </c>
      <c r="B200" s="15">
        <v>46122</v>
      </c>
      <c r="C200" t="s">
        <v>716</v>
      </c>
      <c r="D200" s="3" t="s">
        <v>701</v>
      </c>
      <c r="E200" s="2" t="s">
        <v>30</v>
      </c>
      <c r="F200" s="3">
        <v>46120.671342592592</v>
      </c>
      <c r="G200" s="3" t="s">
        <v>716</v>
      </c>
      <c r="H200" t="s">
        <v>759</v>
      </c>
      <c r="I200" t="s">
        <v>701</v>
      </c>
      <c r="J200" s="2" t="s">
        <v>1</v>
      </c>
      <c r="K200" s="2" t="s">
        <v>1</v>
      </c>
      <c r="L200" s="2"/>
      <c r="M200" s="2" t="s">
        <v>413</v>
      </c>
      <c r="N200" s="2">
        <v>2330</v>
      </c>
      <c r="O200" s="2" t="s">
        <v>0</v>
      </c>
      <c r="P200" s="2">
        <v>19125</v>
      </c>
      <c r="Q200" s="13">
        <v>44561250</v>
      </c>
      <c r="R200" t="s">
        <v>757</v>
      </c>
    </row>
    <row r="201" spans="1:18" x14ac:dyDescent="0.3">
      <c r="A201" s="2" t="s">
        <v>237</v>
      </c>
      <c r="B201" s="15">
        <v>46122</v>
      </c>
      <c r="C201" t="s">
        <v>716</v>
      </c>
      <c r="D201" s="3" t="s">
        <v>701</v>
      </c>
      <c r="E201" s="2" t="s">
        <v>30</v>
      </c>
      <c r="F201" s="3">
        <v>46120.671342592592</v>
      </c>
      <c r="G201" s="3" t="s">
        <v>716</v>
      </c>
      <c r="H201" t="s">
        <v>759</v>
      </c>
      <c r="I201" t="s">
        <v>701</v>
      </c>
      <c r="J201" s="2" t="s">
        <v>1</v>
      </c>
      <c r="K201" s="2" t="s">
        <v>1</v>
      </c>
      <c r="L201" s="2"/>
      <c r="M201" s="2" t="s">
        <v>400</v>
      </c>
      <c r="N201" s="2">
        <v>2390</v>
      </c>
      <c r="O201" s="2" t="s">
        <v>0</v>
      </c>
      <c r="P201" s="2">
        <v>2400</v>
      </c>
      <c r="Q201" s="13">
        <v>5736000</v>
      </c>
      <c r="R201" t="s">
        <v>757</v>
      </c>
    </row>
    <row r="202" spans="1:18" x14ac:dyDescent="0.3">
      <c r="A202" s="2" t="s">
        <v>238</v>
      </c>
      <c r="B202" s="15">
        <v>46118</v>
      </c>
      <c r="C202" t="s">
        <v>716</v>
      </c>
      <c r="D202" s="3" t="s">
        <v>701</v>
      </c>
      <c r="E202" s="2" t="s">
        <v>36</v>
      </c>
      <c r="F202" s="3">
        <v>46105.438032407408</v>
      </c>
      <c r="G202" s="3" t="s">
        <v>692</v>
      </c>
      <c r="H202" t="s">
        <v>759</v>
      </c>
      <c r="I202" t="s">
        <v>699</v>
      </c>
      <c r="J202" s="2" t="s">
        <v>8</v>
      </c>
      <c r="K202" s="2" t="s">
        <v>726</v>
      </c>
      <c r="L202" s="2" t="s">
        <v>79</v>
      </c>
      <c r="M202" s="2" t="s">
        <v>518</v>
      </c>
      <c r="N202" s="2">
        <v>2</v>
      </c>
      <c r="O202" s="2" t="s">
        <v>0</v>
      </c>
      <c r="P202" s="2">
        <v>143678.99</v>
      </c>
      <c r="Q202" s="13">
        <v>287357.98</v>
      </c>
      <c r="R202" t="s">
        <v>757</v>
      </c>
    </row>
    <row r="203" spans="1:18" x14ac:dyDescent="0.3">
      <c r="A203" s="2" t="s">
        <v>239</v>
      </c>
      <c r="B203" s="15">
        <v>46118</v>
      </c>
      <c r="C203" t="s">
        <v>716</v>
      </c>
      <c r="D203" s="3" t="s">
        <v>701</v>
      </c>
      <c r="E203" s="2" t="s">
        <v>32</v>
      </c>
      <c r="F203" s="3">
        <v>46111.573483796303</v>
      </c>
      <c r="G203" s="3" t="s">
        <v>692</v>
      </c>
      <c r="H203" t="s">
        <v>759</v>
      </c>
      <c r="I203" t="s">
        <v>699</v>
      </c>
      <c r="J203" s="2" t="s">
        <v>8</v>
      </c>
      <c r="K203" s="2" t="s">
        <v>726</v>
      </c>
      <c r="L203" s="2" t="s">
        <v>79</v>
      </c>
      <c r="M203" s="2" t="s">
        <v>519</v>
      </c>
      <c r="N203" s="2">
        <v>10</v>
      </c>
      <c r="O203" s="2" t="s">
        <v>0</v>
      </c>
      <c r="P203" s="2">
        <v>19671.009999999998</v>
      </c>
      <c r="Q203" s="13">
        <v>196710.09999999998</v>
      </c>
      <c r="R203" t="s">
        <v>757</v>
      </c>
    </row>
    <row r="204" spans="1:18" x14ac:dyDescent="0.3">
      <c r="A204" s="2" t="s">
        <v>240</v>
      </c>
      <c r="B204" s="15">
        <v>46118</v>
      </c>
      <c r="C204" t="s">
        <v>716</v>
      </c>
      <c r="D204" s="3" t="s">
        <v>701</v>
      </c>
      <c r="E204" s="2" t="s">
        <v>241</v>
      </c>
      <c r="F204" s="3">
        <v>45980.757326388892</v>
      </c>
      <c r="G204" s="3" t="s">
        <v>723</v>
      </c>
      <c r="H204" t="s">
        <v>760</v>
      </c>
      <c r="I204" t="s">
        <v>703</v>
      </c>
      <c r="J204" s="2" t="s">
        <v>2</v>
      </c>
      <c r="K204" s="2" t="s">
        <v>726</v>
      </c>
      <c r="L204" s="2" t="s">
        <v>80</v>
      </c>
      <c r="M204" s="2" t="s">
        <v>520</v>
      </c>
      <c r="N204" s="2">
        <v>6</v>
      </c>
      <c r="O204" s="2" t="s">
        <v>0</v>
      </c>
      <c r="P204" s="2">
        <v>17281224.370000001</v>
      </c>
      <c r="Q204" s="13">
        <v>103687346.22</v>
      </c>
      <c r="R204" t="s">
        <v>757</v>
      </c>
    </row>
    <row r="205" spans="1:18" x14ac:dyDescent="0.3">
      <c r="A205" s="2" t="s">
        <v>242</v>
      </c>
      <c r="B205" s="15">
        <v>46118</v>
      </c>
      <c r="C205" t="s">
        <v>716</v>
      </c>
      <c r="D205" s="3" t="s">
        <v>701</v>
      </c>
      <c r="E205" s="2" t="s">
        <v>69</v>
      </c>
      <c r="F205" s="3">
        <v>46050.437291666669</v>
      </c>
      <c r="G205" s="3" t="s">
        <v>690</v>
      </c>
      <c r="H205" t="s">
        <v>759</v>
      </c>
      <c r="I205" t="s">
        <v>699</v>
      </c>
      <c r="J205" s="2" t="s">
        <v>2</v>
      </c>
      <c r="K205" s="2" t="s">
        <v>726</v>
      </c>
      <c r="L205" s="2" t="s">
        <v>80</v>
      </c>
      <c r="M205" s="2" t="s">
        <v>521</v>
      </c>
      <c r="N205" s="2">
        <v>5</v>
      </c>
      <c r="O205" s="2" t="s">
        <v>0</v>
      </c>
      <c r="P205" s="2">
        <v>16087793.779999999</v>
      </c>
      <c r="Q205" s="13">
        <v>80438968.899999991</v>
      </c>
      <c r="R205" t="s">
        <v>757</v>
      </c>
    </row>
    <row r="206" spans="1:18" x14ac:dyDescent="0.3">
      <c r="A206" s="2" t="s">
        <v>243</v>
      </c>
      <c r="B206" s="15">
        <v>46118</v>
      </c>
      <c r="C206" t="s">
        <v>716</v>
      </c>
      <c r="D206" s="3" t="s">
        <v>701</v>
      </c>
      <c r="E206" s="2" t="s">
        <v>68</v>
      </c>
      <c r="F206" s="3">
        <v>46050.450659722221</v>
      </c>
      <c r="G206" s="3" t="s">
        <v>690</v>
      </c>
      <c r="H206" t="s">
        <v>759</v>
      </c>
      <c r="I206" t="s">
        <v>699</v>
      </c>
      <c r="J206" s="2" t="s">
        <v>2</v>
      </c>
      <c r="K206" s="2" t="s">
        <v>726</v>
      </c>
      <c r="L206" s="2" t="s">
        <v>80</v>
      </c>
      <c r="M206" s="2" t="s">
        <v>521</v>
      </c>
      <c r="N206" s="2">
        <v>4</v>
      </c>
      <c r="O206" s="2" t="s">
        <v>0</v>
      </c>
      <c r="P206" s="2">
        <v>18226551.68</v>
      </c>
      <c r="Q206" s="13">
        <v>72906206.719999999</v>
      </c>
      <c r="R206" t="s">
        <v>757</v>
      </c>
    </row>
    <row r="207" spans="1:18" x14ac:dyDescent="0.3">
      <c r="A207" s="2" t="s">
        <v>244</v>
      </c>
      <c r="B207" s="15">
        <v>46118</v>
      </c>
      <c r="C207" t="s">
        <v>716</v>
      </c>
      <c r="D207" s="3" t="s">
        <v>701</v>
      </c>
      <c r="E207" s="2" t="s">
        <v>245</v>
      </c>
      <c r="F207" s="3">
        <v>45982.66778935185</v>
      </c>
      <c r="G207" s="3" t="s">
        <v>723</v>
      </c>
      <c r="H207" t="s">
        <v>760</v>
      </c>
      <c r="I207" t="s">
        <v>703</v>
      </c>
      <c r="J207" s="2" t="s">
        <v>2</v>
      </c>
      <c r="K207" s="2" t="s">
        <v>726</v>
      </c>
      <c r="L207" s="2" t="s">
        <v>80</v>
      </c>
      <c r="M207" s="2" t="s">
        <v>521</v>
      </c>
      <c r="N207" s="2">
        <v>1</v>
      </c>
      <c r="O207" s="2" t="s">
        <v>0</v>
      </c>
      <c r="P207" s="2">
        <v>20313100.84</v>
      </c>
      <c r="Q207" s="13">
        <v>20313100.84</v>
      </c>
      <c r="R207" t="s">
        <v>757</v>
      </c>
    </row>
    <row r="208" spans="1:18" x14ac:dyDescent="0.3">
      <c r="A208" s="2" t="s">
        <v>246</v>
      </c>
      <c r="B208" s="15">
        <v>46112</v>
      </c>
      <c r="C208" t="s">
        <v>692</v>
      </c>
      <c r="D208" s="3" t="s">
        <v>699</v>
      </c>
      <c r="E208" s="2" t="s">
        <v>38</v>
      </c>
      <c r="F208" s="3">
        <v>46099.385648148149</v>
      </c>
      <c r="G208" s="3" t="s">
        <v>692</v>
      </c>
      <c r="H208" t="s">
        <v>759</v>
      </c>
      <c r="I208" t="s">
        <v>699</v>
      </c>
      <c r="J208" s="2" t="s">
        <v>1</v>
      </c>
      <c r="K208" s="2" t="s">
        <v>745</v>
      </c>
      <c r="L208" s="2" t="s">
        <v>89</v>
      </c>
      <c r="M208" s="2" t="s">
        <v>522</v>
      </c>
      <c r="N208" s="2">
        <v>20</v>
      </c>
      <c r="O208" s="2" t="s">
        <v>0</v>
      </c>
      <c r="P208" s="2">
        <v>53201.93</v>
      </c>
      <c r="Q208" s="13">
        <v>1064038.6000000001</v>
      </c>
      <c r="R208" t="s">
        <v>757</v>
      </c>
    </row>
    <row r="209" spans="1:18" x14ac:dyDescent="0.3">
      <c r="A209" s="2" t="s">
        <v>247</v>
      </c>
      <c r="B209" s="15">
        <v>46112</v>
      </c>
      <c r="C209" t="s">
        <v>692</v>
      </c>
      <c r="D209" s="3" t="s">
        <v>699</v>
      </c>
      <c r="E209" s="2" t="s">
        <v>37</v>
      </c>
      <c r="F209" s="3">
        <v>46100.546215277784</v>
      </c>
      <c r="G209" s="3" t="s">
        <v>692</v>
      </c>
      <c r="H209" t="s">
        <v>759</v>
      </c>
      <c r="I209" t="s">
        <v>699</v>
      </c>
      <c r="J209" s="2" t="s">
        <v>1</v>
      </c>
      <c r="K209" s="2" t="s">
        <v>745</v>
      </c>
      <c r="L209" s="2" t="s">
        <v>89</v>
      </c>
      <c r="M209" s="2" t="s">
        <v>522</v>
      </c>
      <c r="N209" s="2">
        <v>30</v>
      </c>
      <c r="O209" s="2" t="s">
        <v>0</v>
      </c>
      <c r="P209" s="2">
        <v>71544.56</v>
      </c>
      <c r="Q209" s="13">
        <v>2146336.7999999998</v>
      </c>
      <c r="R209" t="s">
        <v>757</v>
      </c>
    </row>
    <row r="210" spans="1:18" x14ac:dyDescent="0.3">
      <c r="A210" s="2" t="s">
        <v>247</v>
      </c>
      <c r="B210" s="15">
        <v>46112</v>
      </c>
      <c r="C210" t="s">
        <v>692</v>
      </c>
      <c r="D210" s="3" t="s">
        <v>699</v>
      </c>
      <c r="E210" s="2" t="s">
        <v>37</v>
      </c>
      <c r="F210" s="3">
        <v>46100.546215277784</v>
      </c>
      <c r="G210" s="3" t="s">
        <v>692</v>
      </c>
      <c r="H210" t="s">
        <v>759</v>
      </c>
      <c r="I210" t="s">
        <v>699</v>
      </c>
      <c r="J210" s="2" t="s">
        <v>1</v>
      </c>
      <c r="K210" s="2" t="s">
        <v>1</v>
      </c>
      <c r="L210" s="2" t="s">
        <v>89</v>
      </c>
      <c r="M210" s="2" t="s">
        <v>523</v>
      </c>
      <c r="N210" s="2">
        <v>40</v>
      </c>
      <c r="O210" s="2" t="s">
        <v>0</v>
      </c>
      <c r="P210" s="2">
        <v>2201.37</v>
      </c>
      <c r="Q210" s="13">
        <v>88054.799999999988</v>
      </c>
      <c r="R210" t="s">
        <v>757</v>
      </c>
    </row>
    <row r="211" spans="1:18" x14ac:dyDescent="0.3">
      <c r="A211" s="2" t="s">
        <v>247</v>
      </c>
      <c r="B211" s="15">
        <v>46112</v>
      </c>
      <c r="C211" t="s">
        <v>692</v>
      </c>
      <c r="D211" s="3" t="s">
        <v>699</v>
      </c>
      <c r="E211" s="2" t="s">
        <v>37</v>
      </c>
      <c r="F211" s="3">
        <v>46100.546215277784</v>
      </c>
      <c r="G211" s="3" t="s">
        <v>692</v>
      </c>
      <c r="H211" t="s">
        <v>759</v>
      </c>
      <c r="I211" t="s">
        <v>699</v>
      </c>
      <c r="J211" s="2" t="s">
        <v>1</v>
      </c>
      <c r="K211" s="2" t="s">
        <v>745</v>
      </c>
      <c r="L211" s="2" t="s">
        <v>89</v>
      </c>
      <c r="M211" s="2" t="s">
        <v>524</v>
      </c>
      <c r="N211" s="2">
        <v>10</v>
      </c>
      <c r="O211" s="2" t="s">
        <v>0</v>
      </c>
      <c r="P211" s="2">
        <v>6787.56</v>
      </c>
      <c r="Q211" s="13">
        <v>67875.600000000006</v>
      </c>
      <c r="R211" t="s">
        <v>757</v>
      </c>
    </row>
    <row r="212" spans="1:18" x14ac:dyDescent="0.3">
      <c r="A212" s="2" t="s">
        <v>247</v>
      </c>
      <c r="B212" s="15">
        <v>46112</v>
      </c>
      <c r="C212" t="s">
        <v>692</v>
      </c>
      <c r="D212" s="3" t="s">
        <v>699</v>
      </c>
      <c r="E212" s="2" t="s">
        <v>37</v>
      </c>
      <c r="F212" s="3">
        <v>46100.546215277784</v>
      </c>
      <c r="G212" s="3" t="s">
        <v>692</v>
      </c>
      <c r="H212" t="s">
        <v>759</v>
      </c>
      <c r="I212" t="s">
        <v>699</v>
      </c>
      <c r="J212" s="2" t="s">
        <v>1</v>
      </c>
      <c r="K212" s="2" t="s">
        <v>745</v>
      </c>
      <c r="L212" s="2" t="s">
        <v>79</v>
      </c>
      <c r="M212" s="2" t="s">
        <v>525</v>
      </c>
      <c r="N212" s="2">
        <v>5</v>
      </c>
      <c r="O212" s="2" t="s">
        <v>0</v>
      </c>
      <c r="P212" s="2">
        <v>10199.83</v>
      </c>
      <c r="Q212" s="13">
        <v>50999.15</v>
      </c>
      <c r="R212" t="s">
        <v>757</v>
      </c>
    </row>
    <row r="213" spans="1:18" x14ac:dyDescent="0.3">
      <c r="A213" s="2" t="s">
        <v>248</v>
      </c>
      <c r="B213" s="15">
        <v>46112</v>
      </c>
      <c r="C213" t="s">
        <v>692</v>
      </c>
      <c r="D213" s="3" t="s">
        <v>699</v>
      </c>
      <c r="E213" s="2" t="s">
        <v>35</v>
      </c>
      <c r="F213" s="3">
        <v>46106.660740740743</v>
      </c>
      <c r="G213" s="3" t="s">
        <v>692</v>
      </c>
      <c r="H213" t="s">
        <v>759</v>
      </c>
      <c r="I213" t="s">
        <v>699</v>
      </c>
      <c r="J213" s="2" t="s">
        <v>1</v>
      </c>
      <c r="K213" s="2" t="s">
        <v>745</v>
      </c>
      <c r="L213" s="2" t="s">
        <v>89</v>
      </c>
      <c r="M213" s="2" t="s">
        <v>524</v>
      </c>
      <c r="N213" s="2">
        <v>10</v>
      </c>
      <c r="O213" s="2" t="s">
        <v>0</v>
      </c>
      <c r="P213" s="2">
        <v>6787.56</v>
      </c>
      <c r="Q213" s="13">
        <v>67875.600000000006</v>
      </c>
      <c r="R213" t="s">
        <v>757</v>
      </c>
    </row>
    <row r="214" spans="1:18" x14ac:dyDescent="0.3">
      <c r="A214" s="2" t="s">
        <v>249</v>
      </c>
      <c r="B214" s="15">
        <v>46111</v>
      </c>
      <c r="C214" t="s">
        <v>692</v>
      </c>
      <c r="D214" s="3" t="s">
        <v>699</v>
      </c>
      <c r="E214" s="2" t="s">
        <v>46</v>
      </c>
      <c r="F214" s="3">
        <v>46083.728831018518</v>
      </c>
      <c r="G214" s="3" t="s">
        <v>692</v>
      </c>
      <c r="H214" t="s">
        <v>759</v>
      </c>
      <c r="I214" t="s">
        <v>699</v>
      </c>
      <c r="J214" s="2" t="s">
        <v>8</v>
      </c>
      <c r="K214" s="2" t="s">
        <v>726</v>
      </c>
      <c r="L214" s="2" t="s">
        <v>83</v>
      </c>
      <c r="M214" s="2" t="s">
        <v>526</v>
      </c>
      <c r="N214" s="2">
        <v>2</v>
      </c>
      <c r="O214" s="2" t="s">
        <v>0</v>
      </c>
      <c r="P214" s="2">
        <v>72882</v>
      </c>
      <c r="Q214" s="13">
        <v>145764</v>
      </c>
      <c r="R214" t="s">
        <v>757</v>
      </c>
    </row>
    <row r="215" spans="1:18" x14ac:dyDescent="0.3">
      <c r="A215" s="2" t="s">
        <v>249</v>
      </c>
      <c r="B215" s="15">
        <v>46111</v>
      </c>
      <c r="C215" t="s">
        <v>692</v>
      </c>
      <c r="D215" s="3" t="s">
        <v>699</v>
      </c>
      <c r="E215" s="2" t="s">
        <v>46</v>
      </c>
      <c r="F215" s="3">
        <v>46083.728831018518</v>
      </c>
      <c r="G215" s="3" t="s">
        <v>692</v>
      </c>
      <c r="H215" t="s">
        <v>759</v>
      </c>
      <c r="I215" t="s">
        <v>699</v>
      </c>
      <c r="J215" s="2" t="s">
        <v>8</v>
      </c>
      <c r="K215" s="2" t="s">
        <v>726</v>
      </c>
      <c r="L215" s="2" t="s">
        <v>90</v>
      </c>
      <c r="M215" s="2" t="s">
        <v>527</v>
      </c>
      <c r="N215" s="2">
        <v>240</v>
      </c>
      <c r="O215" s="2" t="s">
        <v>0</v>
      </c>
      <c r="P215" s="2">
        <v>26682.71</v>
      </c>
      <c r="Q215" s="13">
        <v>6403850.3999999994</v>
      </c>
      <c r="R215" t="s">
        <v>757</v>
      </c>
    </row>
    <row r="216" spans="1:18" x14ac:dyDescent="0.3">
      <c r="A216" s="2" t="s">
        <v>249</v>
      </c>
      <c r="B216" s="15">
        <v>46111</v>
      </c>
      <c r="C216" t="s">
        <v>692</v>
      </c>
      <c r="D216" s="3" t="s">
        <v>699</v>
      </c>
      <c r="E216" s="2" t="s">
        <v>46</v>
      </c>
      <c r="F216" s="3">
        <v>46083.728831018518</v>
      </c>
      <c r="G216" s="3" t="s">
        <v>692</v>
      </c>
      <c r="H216" t="s">
        <v>759</v>
      </c>
      <c r="I216" t="s">
        <v>699</v>
      </c>
      <c r="J216" s="2" t="s">
        <v>8</v>
      </c>
      <c r="K216" s="2" t="s">
        <v>726</v>
      </c>
      <c r="L216" s="2" t="s">
        <v>79</v>
      </c>
      <c r="M216" s="2" t="s">
        <v>528</v>
      </c>
      <c r="N216" s="2">
        <v>337</v>
      </c>
      <c r="O216" s="2" t="s">
        <v>0</v>
      </c>
      <c r="P216" s="2">
        <v>8085.66</v>
      </c>
      <c r="Q216" s="13">
        <v>2724867.42</v>
      </c>
      <c r="R216" t="s">
        <v>757</v>
      </c>
    </row>
    <row r="217" spans="1:18" x14ac:dyDescent="0.3">
      <c r="A217" s="2" t="s">
        <v>250</v>
      </c>
      <c r="B217" s="15">
        <v>46111</v>
      </c>
      <c r="C217" t="s">
        <v>692</v>
      </c>
      <c r="D217" s="3" t="s">
        <v>699</v>
      </c>
      <c r="E217" s="2" t="s">
        <v>36</v>
      </c>
      <c r="F217" s="3">
        <v>46105.438032407408</v>
      </c>
      <c r="G217" s="3" t="s">
        <v>692</v>
      </c>
      <c r="H217" t="s">
        <v>759</v>
      </c>
      <c r="I217" t="s">
        <v>699</v>
      </c>
      <c r="J217" s="2" t="s">
        <v>8</v>
      </c>
      <c r="K217" s="2" t="s">
        <v>726</v>
      </c>
      <c r="L217" s="2" t="s">
        <v>90</v>
      </c>
      <c r="M217" s="2" t="s">
        <v>402</v>
      </c>
      <c r="N217" s="2">
        <v>55</v>
      </c>
      <c r="O217" s="2" t="s">
        <v>0</v>
      </c>
      <c r="P217" s="2">
        <v>19515.89</v>
      </c>
      <c r="Q217" s="13">
        <v>1073373.95</v>
      </c>
      <c r="R217" t="s">
        <v>757</v>
      </c>
    </row>
    <row r="218" spans="1:18" x14ac:dyDescent="0.3">
      <c r="A218" s="2" t="s">
        <v>250</v>
      </c>
      <c r="B218" s="15">
        <v>46111</v>
      </c>
      <c r="C218" t="s">
        <v>692</v>
      </c>
      <c r="D218" s="3" t="s">
        <v>699</v>
      </c>
      <c r="E218" s="2" t="s">
        <v>36</v>
      </c>
      <c r="F218" s="3">
        <v>46105.438032407408</v>
      </c>
      <c r="G218" s="3" t="s">
        <v>692</v>
      </c>
      <c r="H218" t="s">
        <v>759</v>
      </c>
      <c r="I218" t="s">
        <v>699</v>
      </c>
      <c r="J218" s="2" t="s">
        <v>8</v>
      </c>
      <c r="K218" s="2" t="s">
        <v>726</v>
      </c>
      <c r="L218" s="2" t="s">
        <v>79</v>
      </c>
      <c r="M218" s="2" t="s">
        <v>430</v>
      </c>
      <c r="N218" s="2">
        <v>3</v>
      </c>
      <c r="O218" s="2" t="s">
        <v>0</v>
      </c>
      <c r="P218" s="2">
        <v>65200</v>
      </c>
      <c r="Q218" s="13">
        <v>195600</v>
      </c>
      <c r="R218" t="s">
        <v>757</v>
      </c>
    </row>
    <row r="219" spans="1:18" x14ac:dyDescent="0.3">
      <c r="A219" s="2" t="s">
        <v>251</v>
      </c>
      <c r="B219" s="15">
        <v>46111</v>
      </c>
      <c r="C219" t="s">
        <v>692</v>
      </c>
      <c r="D219" s="3" t="s">
        <v>699</v>
      </c>
      <c r="E219" s="2" t="s">
        <v>40</v>
      </c>
      <c r="F219" s="3">
        <v>46097.7343287037</v>
      </c>
      <c r="G219" s="3" t="s">
        <v>692</v>
      </c>
      <c r="H219" t="s">
        <v>759</v>
      </c>
      <c r="I219" t="s">
        <v>699</v>
      </c>
      <c r="J219" s="2" t="s">
        <v>1</v>
      </c>
      <c r="K219" s="2" t="s">
        <v>1</v>
      </c>
      <c r="L219" s="2" t="s">
        <v>78</v>
      </c>
      <c r="M219" s="2" t="s">
        <v>426</v>
      </c>
      <c r="N219" s="2">
        <v>160</v>
      </c>
      <c r="O219" s="2" t="s">
        <v>0</v>
      </c>
      <c r="P219" s="2">
        <v>62034</v>
      </c>
      <c r="Q219" s="13">
        <v>9925440</v>
      </c>
      <c r="R219" t="s">
        <v>757</v>
      </c>
    </row>
    <row r="220" spans="1:18" x14ac:dyDescent="0.3">
      <c r="A220" s="2" t="s">
        <v>251</v>
      </c>
      <c r="B220" s="15">
        <v>46111</v>
      </c>
      <c r="C220" t="s">
        <v>692</v>
      </c>
      <c r="D220" s="3" t="s">
        <v>699</v>
      </c>
      <c r="E220" s="2" t="s">
        <v>40</v>
      </c>
      <c r="F220" s="3">
        <v>46097.7343287037</v>
      </c>
      <c r="G220" s="3" t="s">
        <v>692</v>
      </c>
      <c r="H220" t="s">
        <v>759</v>
      </c>
      <c r="I220" t="s">
        <v>699</v>
      </c>
      <c r="J220" s="2" t="s">
        <v>1</v>
      </c>
      <c r="K220" s="2" t="s">
        <v>1</v>
      </c>
      <c r="L220" s="2" t="s">
        <v>79</v>
      </c>
      <c r="M220" s="2" t="s">
        <v>418</v>
      </c>
      <c r="N220" s="2">
        <v>1</v>
      </c>
      <c r="O220" s="2" t="s">
        <v>0</v>
      </c>
      <c r="P220" s="2">
        <v>91559.66</v>
      </c>
      <c r="Q220" s="13">
        <v>91559.66</v>
      </c>
      <c r="R220" t="s">
        <v>757</v>
      </c>
    </row>
    <row r="221" spans="1:18" x14ac:dyDescent="0.3">
      <c r="A221" s="2" t="s">
        <v>252</v>
      </c>
      <c r="B221" s="15">
        <v>46111</v>
      </c>
      <c r="C221" t="s">
        <v>692</v>
      </c>
      <c r="D221" s="3" t="s">
        <v>699</v>
      </c>
      <c r="E221" s="2" t="s">
        <v>41</v>
      </c>
      <c r="F221" s="3">
        <v>46097.35765046296</v>
      </c>
      <c r="G221" s="3" t="s">
        <v>692</v>
      </c>
      <c r="H221" t="s">
        <v>759</v>
      </c>
      <c r="I221" t="s">
        <v>699</v>
      </c>
      <c r="J221" s="2" t="s">
        <v>8</v>
      </c>
      <c r="K221" s="2" t="s">
        <v>726</v>
      </c>
      <c r="L221" s="2" t="s">
        <v>82</v>
      </c>
      <c r="M221" s="2" t="s">
        <v>529</v>
      </c>
      <c r="N221" s="2">
        <v>2</v>
      </c>
      <c r="O221" s="2" t="s">
        <v>0</v>
      </c>
      <c r="P221" s="2">
        <v>5636363.0300000003</v>
      </c>
      <c r="Q221" s="13">
        <v>11272726.060000001</v>
      </c>
      <c r="R221" t="s">
        <v>757</v>
      </c>
    </row>
    <row r="222" spans="1:18" x14ac:dyDescent="0.3">
      <c r="A222" s="2" t="s">
        <v>253</v>
      </c>
      <c r="B222" s="15">
        <v>46111</v>
      </c>
      <c r="C222" t="s">
        <v>692</v>
      </c>
      <c r="D222" s="3" t="s">
        <v>699</v>
      </c>
      <c r="E222" s="2" t="s">
        <v>50</v>
      </c>
      <c r="F222" s="3">
        <v>46078.498240740737</v>
      </c>
      <c r="G222" s="3" t="s">
        <v>691</v>
      </c>
      <c r="H222" t="s">
        <v>759</v>
      </c>
      <c r="I222" t="s">
        <v>699</v>
      </c>
      <c r="J222" s="2" t="s">
        <v>9</v>
      </c>
      <c r="K222" s="2" t="s">
        <v>726</v>
      </c>
      <c r="L222" s="2" t="s">
        <v>80</v>
      </c>
      <c r="M222" s="2" t="s">
        <v>530</v>
      </c>
      <c r="N222" s="2">
        <v>3</v>
      </c>
      <c r="O222" s="2" t="s">
        <v>0</v>
      </c>
      <c r="P222" s="2">
        <v>845324.37</v>
      </c>
      <c r="Q222" s="13">
        <v>2535973.11</v>
      </c>
      <c r="R222" t="s">
        <v>757</v>
      </c>
    </row>
    <row r="223" spans="1:18" x14ac:dyDescent="0.3">
      <c r="A223" s="2" t="s">
        <v>254</v>
      </c>
      <c r="B223" s="15">
        <v>46107</v>
      </c>
      <c r="C223" t="s">
        <v>692</v>
      </c>
      <c r="D223" s="3" t="s">
        <v>699</v>
      </c>
      <c r="E223" s="2" t="s">
        <v>67</v>
      </c>
      <c r="F223" s="3">
        <v>46050.629502314812</v>
      </c>
      <c r="G223" s="3" t="s">
        <v>690</v>
      </c>
      <c r="H223" t="s">
        <v>759</v>
      </c>
      <c r="I223" t="s">
        <v>699</v>
      </c>
      <c r="J223" s="2" t="s">
        <v>1</v>
      </c>
      <c r="K223" s="2" t="s">
        <v>745</v>
      </c>
      <c r="L223" s="2" t="s">
        <v>89</v>
      </c>
      <c r="M223" s="2" t="s">
        <v>476</v>
      </c>
      <c r="N223" s="2">
        <v>10</v>
      </c>
      <c r="O223" s="2" t="s">
        <v>0</v>
      </c>
      <c r="P223" s="2">
        <v>21565.71</v>
      </c>
      <c r="Q223" s="13">
        <v>215657.09999999998</v>
      </c>
      <c r="R223" t="s">
        <v>757</v>
      </c>
    </row>
    <row r="224" spans="1:18" x14ac:dyDescent="0.3">
      <c r="A224" s="2" t="s">
        <v>255</v>
      </c>
      <c r="B224" s="15">
        <v>46105</v>
      </c>
      <c r="C224" t="s">
        <v>692</v>
      </c>
      <c r="D224" s="3" t="s">
        <v>699</v>
      </c>
      <c r="E224" s="2" t="s">
        <v>42</v>
      </c>
      <c r="F224" s="3">
        <v>46094.610914351862</v>
      </c>
      <c r="G224" s="3" t="s">
        <v>692</v>
      </c>
      <c r="H224" t="s">
        <v>759</v>
      </c>
      <c r="I224" t="s">
        <v>699</v>
      </c>
      <c r="J224" s="2" t="s">
        <v>8</v>
      </c>
      <c r="K224" s="2" t="s">
        <v>726</v>
      </c>
      <c r="L224" s="2" t="s">
        <v>84</v>
      </c>
      <c r="M224" s="2" t="s">
        <v>531</v>
      </c>
      <c r="N224" s="2">
        <v>20</v>
      </c>
      <c r="O224" s="2" t="s">
        <v>0</v>
      </c>
      <c r="P224" s="2">
        <v>39621.01</v>
      </c>
      <c r="Q224" s="13">
        <v>792420.20000000007</v>
      </c>
      <c r="R224" t="s">
        <v>757</v>
      </c>
    </row>
    <row r="225" spans="1:18" x14ac:dyDescent="0.3">
      <c r="A225" s="2" t="s">
        <v>255</v>
      </c>
      <c r="B225" s="15">
        <v>46105</v>
      </c>
      <c r="C225" t="s">
        <v>692</v>
      </c>
      <c r="D225" s="3" t="s">
        <v>699</v>
      </c>
      <c r="E225" s="2" t="s">
        <v>42</v>
      </c>
      <c r="F225" s="3">
        <v>46094.610914351862</v>
      </c>
      <c r="G225" s="3" t="s">
        <v>692</v>
      </c>
      <c r="H225" t="s">
        <v>759</v>
      </c>
      <c r="I225" t="s">
        <v>699</v>
      </c>
      <c r="J225" s="2" t="s">
        <v>8</v>
      </c>
      <c r="K225" s="2" t="s">
        <v>726</v>
      </c>
      <c r="L225" s="2" t="s">
        <v>84</v>
      </c>
      <c r="M225" s="2" t="s">
        <v>532</v>
      </c>
      <c r="N225" s="2">
        <v>20</v>
      </c>
      <c r="O225" s="2" t="s">
        <v>0</v>
      </c>
      <c r="P225" s="2">
        <v>28912.6</v>
      </c>
      <c r="Q225" s="13">
        <v>578252</v>
      </c>
      <c r="R225" t="s">
        <v>757</v>
      </c>
    </row>
    <row r="226" spans="1:18" x14ac:dyDescent="0.3">
      <c r="A226" s="2" t="s">
        <v>255</v>
      </c>
      <c r="B226" s="15">
        <v>46105</v>
      </c>
      <c r="C226" t="s">
        <v>692</v>
      </c>
      <c r="D226" s="3" t="s">
        <v>699</v>
      </c>
      <c r="E226" s="2" t="s">
        <v>42</v>
      </c>
      <c r="F226" s="3">
        <v>46094.610914351862</v>
      </c>
      <c r="G226" s="3" t="s">
        <v>692</v>
      </c>
      <c r="H226" t="s">
        <v>759</v>
      </c>
      <c r="I226" t="s">
        <v>699</v>
      </c>
      <c r="J226" s="2" t="s">
        <v>8</v>
      </c>
      <c r="K226" s="2" t="s">
        <v>726</v>
      </c>
      <c r="L226" s="2" t="s">
        <v>79</v>
      </c>
      <c r="M226" s="2" t="s">
        <v>429</v>
      </c>
      <c r="N226" s="2">
        <v>40</v>
      </c>
      <c r="O226" s="2" t="s">
        <v>0</v>
      </c>
      <c r="P226" s="2">
        <v>5021.8500000000004</v>
      </c>
      <c r="Q226" s="13">
        <v>200874</v>
      </c>
      <c r="R226" t="s">
        <v>757</v>
      </c>
    </row>
    <row r="227" spans="1:18" x14ac:dyDescent="0.3">
      <c r="A227" s="2" t="s">
        <v>256</v>
      </c>
      <c r="B227" s="15">
        <v>46105</v>
      </c>
      <c r="C227" t="s">
        <v>692</v>
      </c>
      <c r="D227" s="3" t="s">
        <v>699</v>
      </c>
      <c r="E227" s="2" t="s">
        <v>43</v>
      </c>
      <c r="F227" s="3">
        <v>46093.63689814815</v>
      </c>
      <c r="G227" s="3" t="s">
        <v>692</v>
      </c>
      <c r="H227" t="s">
        <v>759</v>
      </c>
      <c r="I227" t="s">
        <v>699</v>
      </c>
      <c r="J227" s="2" t="s">
        <v>8</v>
      </c>
      <c r="K227" s="2" t="s">
        <v>726</v>
      </c>
      <c r="L227" s="2" t="s">
        <v>90</v>
      </c>
      <c r="M227" s="2" t="s">
        <v>533</v>
      </c>
      <c r="N227" s="2">
        <v>3</v>
      </c>
      <c r="O227" s="2" t="s">
        <v>0</v>
      </c>
      <c r="P227" s="2">
        <v>123072.27</v>
      </c>
      <c r="Q227" s="13">
        <v>369216.81</v>
      </c>
      <c r="R227" t="s">
        <v>757</v>
      </c>
    </row>
    <row r="228" spans="1:18" x14ac:dyDescent="0.3">
      <c r="A228" s="2" t="s">
        <v>256</v>
      </c>
      <c r="B228" s="15">
        <v>46105</v>
      </c>
      <c r="C228" t="s">
        <v>692</v>
      </c>
      <c r="D228" s="3" t="s">
        <v>699</v>
      </c>
      <c r="E228" s="2" t="s">
        <v>43</v>
      </c>
      <c r="F228" s="3">
        <v>46093.63689814815</v>
      </c>
      <c r="G228" s="3" t="s">
        <v>692</v>
      </c>
      <c r="H228" t="s">
        <v>759</v>
      </c>
      <c r="I228" t="s">
        <v>699</v>
      </c>
      <c r="J228" s="2" t="s">
        <v>8</v>
      </c>
      <c r="K228" s="2" t="s">
        <v>726</v>
      </c>
      <c r="L228" s="2" t="s">
        <v>79</v>
      </c>
      <c r="M228" s="2" t="s">
        <v>430</v>
      </c>
      <c r="N228" s="2">
        <v>5</v>
      </c>
      <c r="O228" s="2" t="s">
        <v>0</v>
      </c>
      <c r="P228" s="2">
        <v>64065.71</v>
      </c>
      <c r="Q228" s="13">
        <v>320328.55</v>
      </c>
      <c r="R228" t="s">
        <v>757</v>
      </c>
    </row>
    <row r="229" spans="1:18" x14ac:dyDescent="0.3">
      <c r="A229" s="2" t="s">
        <v>257</v>
      </c>
      <c r="B229" s="15">
        <v>46105</v>
      </c>
      <c r="C229" t="s">
        <v>692</v>
      </c>
      <c r="D229" s="3" t="s">
        <v>699</v>
      </c>
      <c r="E229" s="2"/>
      <c r="F229" s="2"/>
      <c r="G229" s="3" t="s">
        <v>690</v>
      </c>
      <c r="H229" t="s">
        <v>759</v>
      </c>
      <c r="I229" t="s">
        <v>699</v>
      </c>
      <c r="J229" s="2" t="s">
        <v>1</v>
      </c>
      <c r="K229" s="2" t="s">
        <v>6</v>
      </c>
      <c r="L229" s="2" t="s">
        <v>6</v>
      </c>
      <c r="M229" s="2" t="s">
        <v>534</v>
      </c>
      <c r="N229" s="2">
        <v>1</v>
      </c>
      <c r="O229" s="2" t="s">
        <v>0</v>
      </c>
      <c r="P229" s="2">
        <v>726221.01</v>
      </c>
      <c r="Q229" s="13">
        <v>726221.01</v>
      </c>
      <c r="R229" t="s">
        <v>757</v>
      </c>
    </row>
    <row r="230" spans="1:18" x14ac:dyDescent="0.3">
      <c r="A230" s="2" t="s">
        <v>259</v>
      </c>
      <c r="B230" s="15">
        <v>46100</v>
      </c>
      <c r="C230" t="s">
        <v>692</v>
      </c>
      <c r="D230" s="3" t="s">
        <v>699</v>
      </c>
      <c r="E230" s="2" t="s">
        <v>69</v>
      </c>
      <c r="F230" s="3">
        <v>46050.437291666669</v>
      </c>
      <c r="G230" s="3" t="s">
        <v>690</v>
      </c>
      <c r="H230" t="s">
        <v>759</v>
      </c>
      <c r="I230" t="s">
        <v>699</v>
      </c>
      <c r="J230" s="2" t="s">
        <v>2</v>
      </c>
      <c r="K230" s="2" t="s">
        <v>726</v>
      </c>
      <c r="L230" s="2" t="s">
        <v>80</v>
      </c>
      <c r="M230" s="2" t="s">
        <v>412</v>
      </c>
      <c r="N230" s="2">
        <v>56</v>
      </c>
      <c r="O230" s="2" t="s">
        <v>0</v>
      </c>
      <c r="P230" s="2">
        <v>1539898.96</v>
      </c>
      <c r="Q230" s="13">
        <v>86234341.75999999</v>
      </c>
      <c r="R230" t="s">
        <v>757</v>
      </c>
    </row>
    <row r="231" spans="1:18" x14ac:dyDescent="0.3">
      <c r="A231" s="2" t="s">
        <v>259</v>
      </c>
      <c r="B231" s="15">
        <v>46100</v>
      </c>
      <c r="C231" t="s">
        <v>692</v>
      </c>
      <c r="D231" s="3" t="s">
        <v>699</v>
      </c>
      <c r="E231" s="2" t="s">
        <v>69</v>
      </c>
      <c r="F231" s="3">
        <v>46050.437291666669</v>
      </c>
      <c r="G231" s="3" t="s">
        <v>690</v>
      </c>
      <c r="H231" t="s">
        <v>759</v>
      </c>
      <c r="I231" t="s">
        <v>699</v>
      </c>
      <c r="J231" s="2" t="s">
        <v>2</v>
      </c>
      <c r="K231" s="2" t="s">
        <v>726</v>
      </c>
      <c r="L231" s="2" t="s">
        <v>80</v>
      </c>
      <c r="M231" s="2" t="s">
        <v>535</v>
      </c>
      <c r="N231" s="2">
        <v>10</v>
      </c>
      <c r="O231" s="2" t="s">
        <v>0</v>
      </c>
      <c r="P231" s="2">
        <v>1481750</v>
      </c>
      <c r="Q231" s="13">
        <v>14817500</v>
      </c>
      <c r="R231" t="s">
        <v>757</v>
      </c>
    </row>
    <row r="232" spans="1:18" x14ac:dyDescent="0.3">
      <c r="A232" s="2" t="s">
        <v>259</v>
      </c>
      <c r="B232" s="15">
        <v>46100</v>
      </c>
      <c r="C232" t="s">
        <v>692</v>
      </c>
      <c r="D232" s="3" t="s">
        <v>699</v>
      </c>
      <c r="E232" s="2" t="s">
        <v>69</v>
      </c>
      <c r="F232" s="3">
        <v>46050.437291666669</v>
      </c>
      <c r="G232" s="3" t="s">
        <v>690</v>
      </c>
      <c r="H232" t="s">
        <v>759</v>
      </c>
      <c r="I232" t="s">
        <v>699</v>
      </c>
      <c r="J232" s="2" t="s">
        <v>2</v>
      </c>
      <c r="K232" s="2" t="s">
        <v>726</v>
      </c>
      <c r="L232" s="2" t="s">
        <v>80</v>
      </c>
      <c r="M232" s="2" t="s">
        <v>535</v>
      </c>
      <c r="N232" s="2">
        <v>5</v>
      </c>
      <c r="O232" s="2" t="s">
        <v>0</v>
      </c>
      <c r="P232" s="2">
        <v>1629055.8</v>
      </c>
      <c r="Q232" s="13">
        <v>8145279</v>
      </c>
      <c r="R232" t="s">
        <v>757</v>
      </c>
    </row>
    <row r="233" spans="1:18" x14ac:dyDescent="0.3">
      <c r="A233" s="2" t="s">
        <v>259</v>
      </c>
      <c r="B233" s="15">
        <v>46100</v>
      </c>
      <c r="C233" t="s">
        <v>692</v>
      </c>
      <c r="D233" s="3" t="s">
        <v>699</v>
      </c>
      <c r="E233" s="2" t="s">
        <v>69</v>
      </c>
      <c r="F233" s="3">
        <v>46050.437291666669</v>
      </c>
      <c r="G233" s="3" t="s">
        <v>690</v>
      </c>
      <c r="H233" t="s">
        <v>759</v>
      </c>
      <c r="I233" t="s">
        <v>699</v>
      </c>
      <c r="J233" s="2" t="s">
        <v>2</v>
      </c>
      <c r="K233" s="2" t="s">
        <v>726</v>
      </c>
      <c r="L233" s="2" t="s">
        <v>80</v>
      </c>
      <c r="M233" s="2" t="s">
        <v>535</v>
      </c>
      <c r="N233" s="2">
        <v>11</v>
      </c>
      <c r="O233" s="2" t="s">
        <v>0</v>
      </c>
      <c r="P233" s="2">
        <v>1886841.18</v>
      </c>
      <c r="Q233" s="13">
        <v>20755252.98</v>
      </c>
      <c r="R233" t="s">
        <v>757</v>
      </c>
    </row>
    <row r="234" spans="1:18" x14ac:dyDescent="0.3">
      <c r="A234" s="2" t="s">
        <v>260</v>
      </c>
      <c r="B234" s="15">
        <v>46100</v>
      </c>
      <c r="C234" t="s">
        <v>692</v>
      </c>
      <c r="D234" s="3" t="s">
        <v>699</v>
      </c>
      <c r="E234" s="2" t="s">
        <v>261</v>
      </c>
      <c r="F234" s="3">
        <v>45986.674178240741</v>
      </c>
      <c r="G234" s="3" t="s">
        <v>723</v>
      </c>
      <c r="H234" t="s">
        <v>760</v>
      </c>
      <c r="I234" t="s">
        <v>703</v>
      </c>
      <c r="J234" s="2" t="s">
        <v>2</v>
      </c>
      <c r="K234" s="2" t="s">
        <v>726</v>
      </c>
      <c r="L234" s="2" t="s">
        <v>80</v>
      </c>
      <c r="M234" s="2" t="s">
        <v>412</v>
      </c>
      <c r="N234" s="2">
        <v>21</v>
      </c>
      <c r="O234" s="2" t="s">
        <v>0</v>
      </c>
      <c r="P234" s="2">
        <v>1914356.58</v>
      </c>
      <c r="Q234" s="13">
        <v>40201488.18</v>
      </c>
      <c r="R234" t="s">
        <v>757</v>
      </c>
    </row>
    <row r="235" spans="1:18" x14ac:dyDescent="0.3">
      <c r="A235" s="2" t="s">
        <v>260</v>
      </c>
      <c r="B235" s="15">
        <v>46100</v>
      </c>
      <c r="C235" t="s">
        <v>692</v>
      </c>
      <c r="D235" s="3" t="s">
        <v>699</v>
      </c>
      <c r="E235" s="2" t="s">
        <v>261</v>
      </c>
      <c r="F235" s="3">
        <v>45986.674178240741</v>
      </c>
      <c r="G235" s="3" t="s">
        <v>723</v>
      </c>
      <c r="H235" t="s">
        <v>760</v>
      </c>
      <c r="I235" t="s">
        <v>703</v>
      </c>
      <c r="J235" s="2" t="s">
        <v>2</v>
      </c>
      <c r="K235" s="2" t="s">
        <v>726</v>
      </c>
      <c r="L235" s="2" t="s">
        <v>80</v>
      </c>
      <c r="M235" s="2" t="s">
        <v>421</v>
      </c>
      <c r="N235" s="2">
        <v>2</v>
      </c>
      <c r="O235" s="2" t="s">
        <v>0</v>
      </c>
      <c r="P235" s="2">
        <v>30251104.199999999</v>
      </c>
      <c r="Q235" s="13">
        <v>60502208.399999999</v>
      </c>
      <c r="R235" t="s">
        <v>757</v>
      </c>
    </row>
    <row r="236" spans="1:18" x14ac:dyDescent="0.3">
      <c r="A236" s="2" t="s">
        <v>262</v>
      </c>
      <c r="B236" s="15">
        <v>46100</v>
      </c>
      <c r="C236" t="s">
        <v>692</v>
      </c>
      <c r="D236" s="3" t="s">
        <v>699</v>
      </c>
      <c r="E236" s="2" t="s">
        <v>263</v>
      </c>
      <c r="F236" s="3">
        <v>45980.755532407413</v>
      </c>
      <c r="G236" s="3" t="s">
        <v>723</v>
      </c>
      <c r="H236" t="s">
        <v>760</v>
      </c>
      <c r="I236" t="s">
        <v>703</v>
      </c>
      <c r="J236" s="2" t="s">
        <v>2</v>
      </c>
      <c r="K236" s="2" t="s">
        <v>726</v>
      </c>
      <c r="L236" s="2" t="s">
        <v>80</v>
      </c>
      <c r="M236" s="2" t="s">
        <v>412</v>
      </c>
      <c r="N236" s="2">
        <v>17</v>
      </c>
      <c r="O236" s="2" t="s">
        <v>0</v>
      </c>
      <c r="P236" s="2">
        <v>1965860.65</v>
      </c>
      <c r="Q236" s="13">
        <v>33419631.049999997</v>
      </c>
      <c r="R236" t="s">
        <v>757</v>
      </c>
    </row>
    <row r="237" spans="1:18" x14ac:dyDescent="0.3">
      <c r="A237" s="2" t="s">
        <v>264</v>
      </c>
      <c r="B237" s="15">
        <v>46100</v>
      </c>
      <c r="C237" t="s">
        <v>692</v>
      </c>
      <c r="D237" s="3" t="s">
        <v>699</v>
      </c>
      <c r="E237" s="2" t="s">
        <v>245</v>
      </c>
      <c r="F237" s="3">
        <v>45982.66778935185</v>
      </c>
      <c r="G237" s="3" t="s">
        <v>723</v>
      </c>
      <c r="H237" t="s">
        <v>760</v>
      </c>
      <c r="I237" t="s">
        <v>703</v>
      </c>
      <c r="J237" s="2" t="s">
        <v>2</v>
      </c>
      <c r="K237" s="2" t="s">
        <v>726</v>
      </c>
      <c r="L237" s="2" t="s">
        <v>80</v>
      </c>
      <c r="M237" s="2" t="s">
        <v>521</v>
      </c>
      <c r="N237" s="2">
        <v>2</v>
      </c>
      <c r="O237" s="2" t="s">
        <v>0</v>
      </c>
      <c r="P237" s="2">
        <v>20490089.079999998</v>
      </c>
      <c r="Q237" s="13">
        <v>40980178.159999996</v>
      </c>
      <c r="R237" t="s">
        <v>757</v>
      </c>
    </row>
    <row r="238" spans="1:18" x14ac:dyDescent="0.3">
      <c r="A238" s="2" t="s">
        <v>264</v>
      </c>
      <c r="B238" s="15">
        <v>46100</v>
      </c>
      <c r="C238" t="s">
        <v>692</v>
      </c>
      <c r="D238" s="3" t="s">
        <v>699</v>
      </c>
      <c r="E238" s="2" t="s">
        <v>245</v>
      </c>
      <c r="F238" s="3">
        <v>45982.66778935185</v>
      </c>
      <c r="G238" s="3" t="s">
        <v>723</v>
      </c>
      <c r="H238" t="s">
        <v>760</v>
      </c>
      <c r="I238" t="s">
        <v>703</v>
      </c>
      <c r="J238" s="2" t="s">
        <v>2</v>
      </c>
      <c r="K238" s="2" t="s">
        <v>726</v>
      </c>
      <c r="L238" s="2" t="s">
        <v>80</v>
      </c>
      <c r="M238" s="2" t="s">
        <v>477</v>
      </c>
      <c r="N238" s="2">
        <v>4</v>
      </c>
      <c r="O238" s="2" t="s">
        <v>0</v>
      </c>
      <c r="P238" s="2">
        <v>23183458.190000001</v>
      </c>
      <c r="Q238" s="13">
        <v>92733832.760000005</v>
      </c>
      <c r="R238" t="s">
        <v>757</v>
      </c>
    </row>
    <row r="239" spans="1:18" x14ac:dyDescent="0.3">
      <c r="A239" s="2" t="s">
        <v>265</v>
      </c>
      <c r="B239" s="15">
        <v>46100</v>
      </c>
      <c r="C239" t="s">
        <v>692</v>
      </c>
      <c r="D239" s="3" t="s">
        <v>699</v>
      </c>
      <c r="E239" s="2" t="s">
        <v>266</v>
      </c>
      <c r="F239" s="3">
        <v>45980.758263888893</v>
      </c>
      <c r="G239" s="3" t="s">
        <v>723</v>
      </c>
      <c r="H239" t="s">
        <v>760</v>
      </c>
      <c r="I239" t="s">
        <v>703</v>
      </c>
      <c r="J239" s="2" t="s">
        <v>2</v>
      </c>
      <c r="K239" s="2" t="s">
        <v>726</v>
      </c>
      <c r="L239" s="2" t="s">
        <v>80</v>
      </c>
      <c r="M239" s="2" t="s">
        <v>521</v>
      </c>
      <c r="N239" s="2">
        <v>13</v>
      </c>
      <c r="O239" s="2" t="s">
        <v>0</v>
      </c>
      <c r="P239" s="2">
        <v>20786510.920000002</v>
      </c>
      <c r="Q239" s="13">
        <v>270224641.96000004</v>
      </c>
      <c r="R239" t="s">
        <v>757</v>
      </c>
    </row>
    <row r="240" spans="1:18" x14ac:dyDescent="0.3">
      <c r="A240" s="2" t="s">
        <v>267</v>
      </c>
      <c r="B240" s="15">
        <v>46100</v>
      </c>
      <c r="C240" t="s">
        <v>692</v>
      </c>
      <c r="D240" s="3" t="s">
        <v>699</v>
      </c>
      <c r="E240" s="2" t="s">
        <v>268</v>
      </c>
      <c r="F240" s="3">
        <v>45894.428784722222</v>
      </c>
      <c r="G240" s="3" t="s">
        <v>720</v>
      </c>
      <c r="H240" t="s">
        <v>760</v>
      </c>
      <c r="I240" t="s">
        <v>702</v>
      </c>
      <c r="J240" s="2" t="s">
        <v>2</v>
      </c>
      <c r="K240" s="2" t="s">
        <v>726</v>
      </c>
      <c r="L240" s="2" t="s">
        <v>80</v>
      </c>
      <c r="M240" s="2" t="s">
        <v>421</v>
      </c>
      <c r="N240" s="2">
        <v>1</v>
      </c>
      <c r="O240" s="2" t="s">
        <v>0</v>
      </c>
      <c r="P240" s="2">
        <v>26549806.719999999</v>
      </c>
      <c r="Q240" s="13">
        <v>26549806.719999999</v>
      </c>
      <c r="R240" t="s">
        <v>757</v>
      </c>
    </row>
    <row r="241" spans="1:18" x14ac:dyDescent="0.3">
      <c r="A241" s="2" t="s">
        <v>270</v>
      </c>
      <c r="B241" s="15">
        <v>46098</v>
      </c>
      <c r="C241" t="s">
        <v>692</v>
      </c>
      <c r="D241" s="3" t="s">
        <v>699</v>
      </c>
      <c r="E241" s="2" t="s">
        <v>69</v>
      </c>
      <c r="F241" s="3">
        <v>46050.437291666669</v>
      </c>
      <c r="G241" s="3" t="s">
        <v>690</v>
      </c>
      <c r="H241" t="s">
        <v>759</v>
      </c>
      <c r="I241" t="s">
        <v>699</v>
      </c>
      <c r="J241" s="2" t="s">
        <v>2</v>
      </c>
      <c r="K241" s="2" t="s">
        <v>726</v>
      </c>
      <c r="L241" s="2" t="s">
        <v>80</v>
      </c>
      <c r="M241" s="2" t="s">
        <v>474</v>
      </c>
      <c r="N241" s="2">
        <v>340</v>
      </c>
      <c r="O241" s="2" t="s">
        <v>0</v>
      </c>
      <c r="P241" s="2">
        <v>395345.88</v>
      </c>
      <c r="Q241" s="13">
        <v>134417599.19999999</v>
      </c>
      <c r="R241" t="s">
        <v>757</v>
      </c>
    </row>
    <row r="242" spans="1:18" x14ac:dyDescent="0.3">
      <c r="A242" s="2" t="s">
        <v>271</v>
      </c>
      <c r="B242" s="15">
        <v>46098</v>
      </c>
      <c r="C242" t="s">
        <v>692</v>
      </c>
      <c r="D242" s="3" t="s">
        <v>699</v>
      </c>
      <c r="E242" s="2" t="s">
        <v>69</v>
      </c>
      <c r="F242" s="3">
        <v>46050.437291666669</v>
      </c>
      <c r="G242" s="3" t="s">
        <v>690</v>
      </c>
      <c r="H242" t="s">
        <v>759</v>
      </c>
      <c r="I242" t="s">
        <v>699</v>
      </c>
      <c r="J242" s="2" t="s">
        <v>2</v>
      </c>
      <c r="K242" s="2" t="s">
        <v>726</v>
      </c>
      <c r="L242" s="2" t="s">
        <v>80</v>
      </c>
      <c r="M242" s="2" t="s">
        <v>448</v>
      </c>
      <c r="N242" s="2">
        <v>10</v>
      </c>
      <c r="O242" s="2" t="s">
        <v>0</v>
      </c>
      <c r="P242" s="2">
        <v>4229142.1900000004</v>
      </c>
      <c r="Q242" s="13">
        <v>42291421.900000006</v>
      </c>
      <c r="R242" t="s">
        <v>757</v>
      </c>
    </row>
    <row r="243" spans="1:18" x14ac:dyDescent="0.3">
      <c r="A243" s="2" t="s">
        <v>272</v>
      </c>
      <c r="B243" s="15">
        <v>46098</v>
      </c>
      <c r="C243" t="s">
        <v>692</v>
      </c>
      <c r="D243" s="3" t="s">
        <v>699</v>
      </c>
      <c r="E243" s="2" t="s">
        <v>68</v>
      </c>
      <c r="F243" s="3">
        <v>46050.450659722221</v>
      </c>
      <c r="G243" s="3" t="s">
        <v>690</v>
      </c>
      <c r="H243" t="s">
        <v>759</v>
      </c>
      <c r="I243" t="s">
        <v>699</v>
      </c>
      <c r="J243" s="2" t="s">
        <v>2</v>
      </c>
      <c r="K243" s="2" t="s">
        <v>726</v>
      </c>
      <c r="L243" s="2" t="s">
        <v>80</v>
      </c>
      <c r="M243" s="2" t="s">
        <v>448</v>
      </c>
      <c r="N243" s="2">
        <v>2</v>
      </c>
      <c r="O243" s="2" t="s">
        <v>0</v>
      </c>
      <c r="P243" s="2">
        <v>4411521.8499999996</v>
      </c>
      <c r="Q243" s="13">
        <v>8823043.6999999993</v>
      </c>
      <c r="R243" t="s">
        <v>757</v>
      </c>
    </row>
    <row r="244" spans="1:18" x14ac:dyDescent="0.3">
      <c r="A244" s="2" t="s">
        <v>273</v>
      </c>
      <c r="B244" s="15">
        <v>46094</v>
      </c>
      <c r="C244" t="s">
        <v>692</v>
      </c>
      <c r="D244" s="3" t="s">
        <v>699</v>
      </c>
      <c r="E244" s="2" t="s">
        <v>46</v>
      </c>
      <c r="F244" s="3">
        <v>46083.728831018518</v>
      </c>
      <c r="G244" s="3" t="s">
        <v>692</v>
      </c>
      <c r="H244" t="s">
        <v>759</v>
      </c>
      <c r="I244" t="s">
        <v>699</v>
      </c>
      <c r="J244" s="2" t="s">
        <v>8</v>
      </c>
      <c r="K244" s="2" t="s">
        <v>726</v>
      </c>
      <c r="L244" s="2" t="s">
        <v>87</v>
      </c>
      <c r="M244" s="2" t="s">
        <v>466</v>
      </c>
      <c r="N244" s="2">
        <v>8</v>
      </c>
      <c r="O244" s="2" t="s">
        <v>0</v>
      </c>
      <c r="P244" s="2">
        <v>323849.78999999998</v>
      </c>
      <c r="Q244" s="13">
        <v>2590798.3199999998</v>
      </c>
      <c r="R244" t="s">
        <v>757</v>
      </c>
    </row>
    <row r="245" spans="1:18" x14ac:dyDescent="0.3">
      <c r="A245" s="2" t="s">
        <v>273</v>
      </c>
      <c r="B245" s="15">
        <v>46094</v>
      </c>
      <c r="C245" t="s">
        <v>692</v>
      </c>
      <c r="D245" s="3" t="s">
        <v>699</v>
      </c>
      <c r="E245" s="2" t="s">
        <v>46</v>
      </c>
      <c r="F245" s="3">
        <v>46083.728831018518</v>
      </c>
      <c r="G245" s="3" t="s">
        <v>692</v>
      </c>
      <c r="H245" t="s">
        <v>759</v>
      </c>
      <c r="I245" t="s">
        <v>699</v>
      </c>
      <c r="J245" s="2" t="s">
        <v>8</v>
      </c>
      <c r="K245" s="2" t="s">
        <v>726</v>
      </c>
      <c r="L245" s="2" t="s">
        <v>82</v>
      </c>
      <c r="M245" s="2" t="s">
        <v>536</v>
      </c>
      <c r="N245" s="2">
        <v>8</v>
      </c>
      <c r="O245" s="2" t="s">
        <v>0</v>
      </c>
      <c r="P245" s="2">
        <v>4071478.89</v>
      </c>
      <c r="Q245" s="13">
        <v>32571831.120000001</v>
      </c>
      <c r="R245" t="s">
        <v>757</v>
      </c>
    </row>
    <row r="246" spans="1:18" x14ac:dyDescent="0.3">
      <c r="A246" s="2" t="s">
        <v>274</v>
      </c>
      <c r="B246" s="15">
        <v>46094</v>
      </c>
      <c r="C246" t="s">
        <v>692</v>
      </c>
      <c r="D246" s="3" t="s">
        <v>699</v>
      </c>
      <c r="E246" s="2" t="s">
        <v>44</v>
      </c>
      <c r="F246" s="3">
        <v>46087.516111111108</v>
      </c>
      <c r="G246" s="3" t="s">
        <v>692</v>
      </c>
      <c r="H246" t="s">
        <v>759</v>
      </c>
      <c r="I246" t="s">
        <v>699</v>
      </c>
      <c r="J246" s="2" t="s">
        <v>1</v>
      </c>
      <c r="K246" s="2" t="s">
        <v>745</v>
      </c>
      <c r="L246" s="2" t="s">
        <v>89</v>
      </c>
      <c r="M246" s="2" t="s">
        <v>442</v>
      </c>
      <c r="N246" s="2">
        <v>40</v>
      </c>
      <c r="O246" s="2" t="s">
        <v>0</v>
      </c>
      <c r="P246" s="2">
        <v>4995.6499999999996</v>
      </c>
      <c r="Q246" s="13">
        <v>199826</v>
      </c>
      <c r="R246" t="s">
        <v>757</v>
      </c>
    </row>
    <row r="247" spans="1:18" x14ac:dyDescent="0.3">
      <c r="A247" s="2" t="s">
        <v>275</v>
      </c>
      <c r="B247" s="15">
        <v>46094</v>
      </c>
      <c r="C247" t="s">
        <v>692</v>
      </c>
      <c r="D247" s="3" t="s">
        <v>699</v>
      </c>
      <c r="E247" s="2" t="s">
        <v>59</v>
      </c>
      <c r="F247" s="3">
        <v>46058.33966435185</v>
      </c>
      <c r="G247" s="3" t="s">
        <v>691</v>
      </c>
      <c r="H247" t="s">
        <v>759</v>
      </c>
      <c r="I247" t="s">
        <v>699</v>
      </c>
      <c r="J247" s="2" t="s">
        <v>1</v>
      </c>
      <c r="K247" s="2" t="s">
        <v>745</v>
      </c>
      <c r="L247" s="2" t="s">
        <v>89</v>
      </c>
      <c r="M247" s="2" t="s">
        <v>538</v>
      </c>
      <c r="N247" s="2">
        <v>40</v>
      </c>
      <c r="O247" s="2" t="s">
        <v>0</v>
      </c>
      <c r="P247" s="2">
        <v>52214.16</v>
      </c>
      <c r="Q247" s="13">
        <v>2088566.4000000001</v>
      </c>
      <c r="R247" t="s">
        <v>757</v>
      </c>
    </row>
    <row r="248" spans="1:18" x14ac:dyDescent="0.3">
      <c r="A248" s="2" t="s">
        <v>276</v>
      </c>
      <c r="B248" s="15">
        <v>46094</v>
      </c>
      <c r="C248" t="s">
        <v>692</v>
      </c>
      <c r="D248" s="3" t="s">
        <v>699</v>
      </c>
      <c r="E248" s="2" t="s">
        <v>69</v>
      </c>
      <c r="F248" s="3">
        <v>46050.437291666669</v>
      </c>
      <c r="G248" s="3" t="s">
        <v>690</v>
      </c>
      <c r="H248" t="s">
        <v>759</v>
      </c>
      <c r="I248" t="s">
        <v>699</v>
      </c>
      <c r="J248" s="2" t="s">
        <v>2</v>
      </c>
      <c r="K248" s="2" t="s">
        <v>726</v>
      </c>
      <c r="L248" s="2" t="s">
        <v>80</v>
      </c>
      <c r="M248" s="2" t="s">
        <v>540</v>
      </c>
      <c r="N248" s="2">
        <v>65</v>
      </c>
      <c r="O248" s="2" t="s">
        <v>0</v>
      </c>
      <c r="P248" s="2">
        <v>588877.49</v>
      </c>
      <c r="Q248" s="13">
        <v>38277036.850000001</v>
      </c>
      <c r="R248" t="s">
        <v>757</v>
      </c>
    </row>
    <row r="249" spans="1:18" x14ac:dyDescent="0.3">
      <c r="A249" s="2" t="s">
        <v>276</v>
      </c>
      <c r="B249" s="15">
        <v>46094</v>
      </c>
      <c r="C249" t="s">
        <v>692</v>
      </c>
      <c r="D249" s="3" t="s">
        <v>699</v>
      </c>
      <c r="E249" s="2" t="s">
        <v>69</v>
      </c>
      <c r="F249" s="3">
        <v>46050.437291666669</v>
      </c>
      <c r="G249" s="3" t="s">
        <v>690</v>
      </c>
      <c r="H249" t="s">
        <v>759</v>
      </c>
      <c r="I249" t="s">
        <v>699</v>
      </c>
      <c r="J249" s="2" t="s">
        <v>2</v>
      </c>
      <c r="K249" s="2" t="s">
        <v>726</v>
      </c>
      <c r="L249" s="2" t="s">
        <v>80</v>
      </c>
      <c r="M249" s="2" t="s">
        <v>540</v>
      </c>
      <c r="N249" s="2">
        <v>9</v>
      </c>
      <c r="O249" s="2" t="s">
        <v>0</v>
      </c>
      <c r="P249" s="2">
        <v>3239158.45</v>
      </c>
      <c r="Q249" s="13">
        <v>29152426.050000001</v>
      </c>
      <c r="R249" t="s">
        <v>757</v>
      </c>
    </row>
    <row r="250" spans="1:18" x14ac:dyDescent="0.3">
      <c r="A250" s="2" t="s">
        <v>277</v>
      </c>
      <c r="B250" s="15">
        <v>46094</v>
      </c>
      <c r="C250" t="s">
        <v>692</v>
      </c>
      <c r="D250" s="3" t="s">
        <v>699</v>
      </c>
      <c r="E250" s="2" t="s">
        <v>68</v>
      </c>
      <c r="F250" s="3">
        <v>46050.450659722221</v>
      </c>
      <c r="G250" s="3" t="s">
        <v>690</v>
      </c>
      <c r="H250" t="s">
        <v>759</v>
      </c>
      <c r="I250" t="s">
        <v>699</v>
      </c>
      <c r="J250" s="2" t="s">
        <v>2</v>
      </c>
      <c r="K250" s="2" t="s">
        <v>726</v>
      </c>
      <c r="L250" s="2" t="s">
        <v>80</v>
      </c>
      <c r="M250" s="2" t="s">
        <v>540</v>
      </c>
      <c r="N250" s="2">
        <v>16</v>
      </c>
      <c r="O250" s="2" t="s">
        <v>0</v>
      </c>
      <c r="P250" s="2">
        <v>588877.52</v>
      </c>
      <c r="Q250" s="13">
        <v>9422040.3200000003</v>
      </c>
      <c r="R250" t="s">
        <v>757</v>
      </c>
    </row>
    <row r="251" spans="1:18" x14ac:dyDescent="0.3">
      <c r="A251" s="2" t="s">
        <v>277</v>
      </c>
      <c r="B251" s="15">
        <v>46094</v>
      </c>
      <c r="C251" t="s">
        <v>692</v>
      </c>
      <c r="D251" s="3" t="s">
        <v>699</v>
      </c>
      <c r="E251" s="2" t="s">
        <v>68</v>
      </c>
      <c r="F251" s="3">
        <v>46050.450659722221</v>
      </c>
      <c r="G251" s="3" t="s">
        <v>690</v>
      </c>
      <c r="H251" t="s">
        <v>759</v>
      </c>
      <c r="I251" t="s">
        <v>699</v>
      </c>
      <c r="J251" s="2" t="s">
        <v>2</v>
      </c>
      <c r="K251" s="2" t="s">
        <v>726</v>
      </c>
      <c r="L251" s="2" t="s">
        <v>80</v>
      </c>
      <c r="M251" s="2" t="s">
        <v>540</v>
      </c>
      <c r="N251" s="2">
        <v>3</v>
      </c>
      <c r="O251" s="2" t="s">
        <v>0</v>
      </c>
      <c r="P251" s="2">
        <v>625788.24</v>
      </c>
      <c r="Q251" s="13">
        <v>1877364.72</v>
      </c>
      <c r="R251" t="s">
        <v>757</v>
      </c>
    </row>
    <row r="252" spans="1:18" x14ac:dyDescent="0.3">
      <c r="A252" s="2" t="s">
        <v>278</v>
      </c>
      <c r="B252" s="15">
        <v>46094</v>
      </c>
      <c r="C252" t="s">
        <v>692</v>
      </c>
      <c r="D252" s="3" t="s">
        <v>699</v>
      </c>
      <c r="E252" s="2" t="s">
        <v>66</v>
      </c>
      <c r="F252" s="3">
        <v>46050.615532407413</v>
      </c>
      <c r="G252" s="3" t="s">
        <v>690</v>
      </c>
      <c r="H252" t="s">
        <v>759</v>
      </c>
      <c r="I252" t="s">
        <v>699</v>
      </c>
      <c r="J252" s="2" t="s">
        <v>8</v>
      </c>
      <c r="K252" s="2" t="s">
        <v>726</v>
      </c>
      <c r="L252" s="2" t="s">
        <v>79</v>
      </c>
      <c r="M252" s="2" t="s">
        <v>445</v>
      </c>
      <c r="N252" s="2">
        <v>1</v>
      </c>
      <c r="O252" s="2" t="s">
        <v>0</v>
      </c>
      <c r="P252" s="2">
        <v>129700</v>
      </c>
      <c r="Q252" s="13">
        <v>129700</v>
      </c>
      <c r="R252" t="s">
        <v>757</v>
      </c>
    </row>
    <row r="253" spans="1:18" x14ac:dyDescent="0.3">
      <c r="A253" s="2" t="s">
        <v>279</v>
      </c>
      <c r="B253" s="15">
        <v>46094</v>
      </c>
      <c r="C253" t="s">
        <v>692</v>
      </c>
      <c r="D253" s="3" t="s">
        <v>699</v>
      </c>
      <c r="E253" s="2" t="s">
        <v>261</v>
      </c>
      <c r="F253" s="3">
        <v>45986.674178240741</v>
      </c>
      <c r="G253" s="3" t="s">
        <v>723</v>
      </c>
      <c r="H253" t="s">
        <v>760</v>
      </c>
      <c r="I253" t="s">
        <v>703</v>
      </c>
      <c r="J253" s="2" t="s">
        <v>2</v>
      </c>
      <c r="K253" s="2" t="s">
        <v>726</v>
      </c>
      <c r="L253" s="2" t="s">
        <v>80</v>
      </c>
      <c r="M253" s="2" t="s">
        <v>540</v>
      </c>
      <c r="N253" s="2">
        <v>5</v>
      </c>
      <c r="O253" s="2" t="s">
        <v>0</v>
      </c>
      <c r="P253" s="2">
        <v>442625.45</v>
      </c>
      <c r="Q253" s="13">
        <v>2213127.25</v>
      </c>
      <c r="R253" t="s">
        <v>757</v>
      </c>
    </row>
    <row r="254" spans="1:18" x14ac:dyDescent="0.3">
      <c r="A254" s="2" t="s">
        <v>279</v>
      </c>
      <c r="B254" s="15">
        <v>46094</v>
      </c>
      <c r="C254" t="s">
        <v>692</v>
      </c>
      <c r="D254" s="3" t="s">
        <v>699</v>
      </c>
      <c r="E254" s="2" t="s">
        <v>261</v>
      </c>
      <c r="F254" s="3">
        <v>45986.674178240741</v>
      </c>
      <c r="G254" s="3" t="s">
        <v>723</v>
      </c>
      <c r="H254" t="s">
        <v>760</v>
      </c>
      <c r="I254" t="s">
        <v>703</v>
      </c>
      <c r="J254" s="2" t="s">
        <v>2</v>
      </c>
      <c r="K254" s="2" t="s">
        <v>726</v>
      </c>
      <c r="L254" s="2" t="s">
        <v>80</v>
      </c>
      <c r="M254" s="2" t="s">
        <v>541</v>
      </c>
      <c r="N254" s="2">
        <v>2</v>
      </c>
      <c r="O254" s="2" t="s">
        <v>0</v>
      </c>
      <c r="P254" s="2">
        <v>442625.45</v>
      </c>
      <c r="Q254" s="13">
        <v>885250.9</v>
      </c>
      <c r="R254" t="s">
        <v>757</v>
      </c>
    </row>
    <row r="255" spans="1:18" x14ac:dyDescent="0.3">
      <c r="A255" s="2" t="s">
        <v>280</v>
      </c>
      <c r="B255" s="15">
        <v>46094</v>
      </c>
      <c r="C255" t="s">
        <v>692</v>
      </c>
      <c r="D255" s="3" t="s">
        <v>699</v>
      </c>
      <c r="E255" s="2" t="s">
        <v>263</v>
      </c>
      <c r="F255" s="3">
        <v>45980.755532407413</v>
      </c>
      <c r="G255" s="3" t="s">
        <v>723</v>
      </c>
      <c r="H255" t="s">
        <v>760</v>
      </c>
      <c r="I255" t="s">
        <v>703</v>
      </c>
      <c r="J255" s="2" t="s">
        <v>2</v>
      </c>
      <c r="K255" s="2" t="s">
        <v>726</v>
      </c>
      <c r="L255" s="2" t="s">
        <v>80</v>
      </c>
      <c r="M255" s="2" t="s">
        <v>412</v>
      </c>
      <c r="N255" s="2">
        <v>6</v>
      </c>
      <c r="O255" s="2" t="s">
        <v>0</v>
      </c>
      <c r="P255" s="2">
        <v>1970370.87</v>
      </c>
      <c r="Q255" s="13">
        <v>11822225.220000001</v>
      </c>
      <c r="R255" t="s">
        <v>757</v>
      </c>
    </row>
    <row r="256" spans="1:18" x14ac:dyDescent="0.3">
      <c r="A256" s="2" t="s">
        <v>281</v>
      </c>
      <c r="B256" s="15">
        <v>46093</v>
      </c>
      <c r="C256" t="s">
        <v>692</v>
      </c>
      <c r="D256" s="3" t="s">
        <v>699</v>
      </c>
      <c r="E256" s="2" t="s">
        <v>47</v>
      </c>
      <c r="F256" s="3">
        <v>46083.409826388888</v>
      </c>
      <c r="G256" s="3" t="s">
        <v>692</v>
      </c>
      <c r="H256" t="s">
        <v>759</v>
      </c>
      <c r="I256" t="s">
        <v>699</v>
      </c>
      <c r="J256" s="2" t="s">
        <v>8</v>
      </c>
      <c r="K256" s="2" t="s">
        <v>726</v>
      </c>
      <c r="L256" s="2" t="s">
        <v>90</v>
      </c>
      <c r="M256" s="2" t="s">
        <v>533</v>
      </c>
      <c r="N256" s="2">
        <v>1</v>
      </c>
      <c r="O256" s="2" t="s">
        <v>0</v>
      </c>
      <c r="P256" s="2">
        <v>119193.28</v>
      </c>
      <c r="Q256" s="13">
        <v>119193.28</v>
      </c>
      <c r="R256" t="s">
        <v>757</v>
      </c>
    </row>
    <row r="257" spans="1:18" x14ac:dyDescent="0.3">
      <c r="A257" s="2" t="s">
        <v>282</v>
      </c>
      <c r="B257" s="15">
        <v>46093</v>
      </c>
      <c r="C257" t="s">
        <v>692</v>
      </c>
      <c r="D257" s="3" t="s">
        <v>699</v>
      </c>
      <c r="E257" s="2" t="s">
        <v>48</v>
      </c>
      <c r="F257" s="3">
        <v>46079.525173611109</v>
      </c>
      <c r="G257" s="3" t="s">
        <v>691</v>
      </c>
      <c r="H257" t="s">
        <v>759</v>
      </c>
      <c r="I257" t="s">
        <v>699</v>
      </c>
      <c r="J257" s="2" t="s">
        <v>1</v>
      </c>
      <c r="K257" s="2" t="s">
        <v>745</v>
      </c>
      <c r="L257" s="2" t="s">
        <v>89</v>
      </c>
      <c r="M257" s="2" t="s">
        <v>524</v>
      </c>
      <c r="N257" s="2">
        <v>10</v>
      </c>
      <c r="O257" s="2" t="s">
        <v>0</v>
      </c>
      <c r="P257" s="2">
        <v>6416.81</v>
      </c>
      <c r="Q257" s="13">
        <v>64168.100000000006</v>
      </c>
      <c r="R257" t="s">
        <v>757</v>
      </c>
    </row>
    <row r="258" spans="1:18" x14ac:dyDescent="0.3">
      <c r="A258" s="2" t="s">
        <v>283</v>
      </c>
      <c r="B258" s="15">
        <v>46093</v>
      </c>
      <c r="C258" t="s">
        <v>692</v>
      </c>
      <c r="D258" s="3" t="s">
        <v>699</v>
      </c>
      <c r="E258" s="2" t="s">
        <v>49</v>
      </c>
      <c r="F258" s="3">
        <v>46079.519236111111</v>
      </c>
      <c r="G258" s="3" t="s">
        <v>691</v>
      </c>
      <c r="H258" t="s">
        <v>759</v>
      </c>
      <c r="I258" t="s">
        <v>699</v>
      </c>
      <c r="J258" s="2" t="s">
        <v>8</v>
      </c>
      <c r="K258" s="2" t="s">
        <v>726</v>
      </c>
      <c r="L258" s="2" t="s">
        <v>84</v>
      </c>
      <c r="M258" s="2" t="s">
        <v>440</v>
      </c>
      <c r="N258" s="2">
        <v>15</v>
      </c>
      <c r="O258" s="2" t="s">
        <v>0</v>
      </c>
      <c r="P258" s="2">
        <v>25261.68</v>
      </c>
      <c r="Q258" s="13">
        <v>378925.2</v>
      </c>
      <c r="R258" t="s">
        <v>757</v>
      </c>
    </row>
    <row r="259" spans="1:18" x14ac:dyDescent="0.3">
      <c r="A259" s="2" t="s">
        <v>283</v>
      </c>
      <c r="B259" s="15">
        <v>46093</v>
      </c>
      <c r="C259" t="s">
        <v>692</v>
      </c>
      <c r="D259" s="3" t="s">
        <v>699</v>
      </c>
      <c r="E259" s="2" t="s">
        <v>49</v>
      </c>
      <c r="F259" s="3">
        <v>46079.519236111111</v>
      </c>
      <c r="G259" s="3" t="s">
        <v>691</v>
      </c>
      <c r="H259" t="s">
        <v>759</v>
      </c>
      <c r="I259" t="s">
        <v>699</v>
      </c>
      <c r="J259" s="2" t="s">
        <v>8</v>
      </c>
      <c r="K259" s="2" t="s">
        <v>726</v>
      </c>
      <c r="L259" s="2" t="s">
        <v>84</v>
      </c>
      <c r="M259" s="2" t="s">
        <v>439</v>
      </c>
      <c r="N259" s="2">
        <v>15</v>
      </c>
      <c r="O259" s="2" t="s">
        <v>0</v>
      </c>
      <c r="P259" s="2">
        <v>32600.560000000001</v>
      </c>
      <c r="Q259" s="13">
        <v>489008.4</v>
      </c>
      <c r="R259" t="s">
        <v>757</v>
      </c>
    </row>
    <row r="260" spans="1:18" x14ac:dyDescent="0.3">
      <c r="A260" s="2" t="s">
        <v>283</v>
      </c>
      <c r="B260" s="15">
        <v>46093</v>
      </c>
      <c r="C260" t="s">
        <v>692</v>
      </c>
      <c r="D260" s="3" t="s">
        <v>699</v>
      </c>
      <c r="E260" s="2" t="s">
        <v>49</v>
      </c>
      <c r="F260" s="3">
        <v>46079.519236111111</v>
      </c>
      <c r="G260" s="3" t="s">
        <v>691</v>
      </c>
      <c r="H260" t="s">
        <v>759</v>
      </c>
      <c r="I260" t="s">
        <v>699</v>
      </c>
      <c r="J260" s="2" t="s">
        <v>8</v>
      </c>
      <c r="K260" s="2" t="s">
        <v>726</v>
      </c>
      <c r="L260" s="2" t="s">
        <v>79</v>
      </c>
      <c r="M260" s="2" t="s">
        <v>429</v>
      </c>
      <c r="N260" s="2">
        <v>12</v>
      </c>
      <c r="O260" s="2" t="s">
        <v>0</v>
      </c>
      <c r="P260" s="2">
        <v>4720.38</v>
      </c>
      <c r="Q260" s="13">
        <v>56644.56</v>
      </c>
      <c r="R260" t="s">
        <v>757</v>
      </c>
    </row>
    <row r="261" spans="1:18" x14ac:dyDescent="0.3">
      <c r="A261" s="2" t="s">
        <v>284</v>
      </c>
      <c r="B261" s="15">
        <v>46093</v>
      </c>
      <c r="C261" t="s">
        <v>692</v>
      </c>
      <c r="D261" s="3" t="s">
        <v>699</v>
      </c>
      <c r="E261" s="2" t="s">
        <v>53</v>
      </c>
      <c r="F261" s="3">
        <v>46073.378969907397</v>
      </c>
      <c r="G261" s="3" t="s">
        <v>691</v>
      </c>
      <c r="H261" t="s">
        <v>759</v>
      </c>
      <c r="I261" t="s">
        <v>699</v>
      </c>
      <c r="J261" s="2" t="s">
        <v>8</v>
      </c>
      <c r="K261" s="2" t="s">
        <v>726</v>
      </c>
      <c r="L261" s="2" t="s">
        <v>7</v>
      </c>
      <c r="M261" s="2" t="s">
        <v>542</v>
      </c>
      <c r="N261" s="2">
        <v>1</v>
      </c>
      <c r="O261" s="2" t="s">
        <v>0</v>
      </c>
      <c r="P261" s="2">
        <v>1124459.6599999999</v>
      </c>
      <c r="Q261" s="13">
        <v>1124459.6599999999</v>
      </c>
      <c r="R261" t="s">
        <v>757</v>
      </c>
    </row>
    <row r="262" spans="1:18" x14ac:dyDescent="0.3">
      <c r="A262" s="2" t="s">
        <v>285</v>
      </c>
      <c r="B262" s="15">
        <v>46093</v>
      </c>
      <c r="C262" t="s">
        <v>692</v>
      </c>
      <c r="D262" s="3" t="s">
        <v>699</v>
      </c>
      <c r="E262" s="2" t="s">
        <v>52</v>
      </c>
      <c r="F262" s="3">
        <v>46076.629328703697</v>
      </c>
      <c r="G262" s="3" t="s">
        <v>691</v>
      </c>
      <c r="H262" t="s">
        <v>759</v>
      </c>
      <c r="I262" t="s">
        <v>699</v>
      </c>
      <c r="J262" s="2" t="s">
        <v>8</v>
      </c>
      <c r="K262" s="2" t="s">
        <v>726</v>
      </c>
      <c r="L262" s="2" t="s">
        <v>83</v>
      </c>
      <c r="M262" s="2" t="s">
        <v>543</v>
      </c>
      <c r="N262" s="2">
        <v>146</v>
      </c>
      <c r="O262" s="2" t="s">
        <v>0</v>
      </c>
      <c r="P262" s="2">
        <v>80026.25</v>
      </c>
      <c r="Q262" s="13">
        <v>11683832.5</v>
      </c>
      <c r="R262" t="s">
        <v>757</v>
      </c>
    </row>
    <row r="263" spans="1:18" x14ac:dyDescent="0.3">
      <c r="A263" s="2" t="s">
        <v>286</v>
      </c>
      <c r="B263" s="15">
        <v>46093</v>
      </c>
      <c r="C263" t="s">
        <v>692</v>
      </c>
      <c r="D263" s="3" t="s">
        <v>699</v>
      </c>
      <c r="E263" s="2" t="s">
        <v>69</v>
      </c>
      <c r="F263" s="3">
        <v>46050.437291666669</v>
      </c>
      <c r="G263" s="3" t="s">
        <v>690</v>
      </c>
      <c r="H263" t="s">
        <v>759</v>
      </c>
      <c r="I263" t="s">
        <v>699</v>
      </c>
      <c r="J263" s="2" t="s">
        <v>2</v>
      </c>
      <c r="K263" s="2" t="s">
        <v>726</v>
      </c>
      <c r="L263" s="2" t="s">
        <v>80</v>
      </c>
      <c r="M263" s="2" t="s">
        <v>486</v>
      </c>
      <c r="N263" s="2">
        <v>41</v>
      </c>
      <c r="O263" s="2" t="s">
        <v>0</v>
      </c>
      <c r="P263" s="2">
        <v>679616.36</v>
      </c>
      <c r="Q263" s="13">
        <v>27864270.759999998</v>
      </c>
      <c r="R263" t="s">
        <v>757</v>
      </c>
    </row>
    <row r="264" spans="1:18" x14ac:dyDescent="0.3">
      <c r="A264" s="2" t="s">
        <v>287</v>
      </c>
      <c r="B264" s="15">
        <v>46091</v>
      </c>
      <c r="C264" t="s">
        <v>692</v>
      </c>
      <c r="D264" s="3" t="s">
        <v>699</v>
      </c>
      <c r="E264" s="2" t="s">
        <v>46</v>
      </c>
      <c r="F264" s="3">
        <v>46083.728831018518</v>
      </c>
      <c r="G264" s="3" t="s">
        <v>692</v>
      </c>
      <c r="H264" t="s">
        <v>759</v>
      </c>
      <c r="I264" t="s">
        <v>699</v>
      </c>
      <c r="J264" s="2" t="s">
        <v>8</v>
      </c>
      <c r="K264" s="2" t="s">
        <v>726</v>
      </c>
      <c r="L264" s="2" t="s">
        <v>79</v>
      </c>
      <c r="M264" s="2" t="s">
        <v>463</v>
      </c>
      <c r="N264" s="2">
        <v>12</v>
      </c>
      <c r="O264" s="2" t="s">
        <v>0</v>
      </c>
      <c r="P264" s="2">
        <v>185108.85</v>
      </c>
      <c r="Q264" s="13">
        <v>2221306.2000000002</v>
      </c>
      <c r="R264" t="s">
        <v>757</v>
      </c>
    </row>
    <row r="265" spans="1:18" x14ac:dyDescent="0.3">
      <c r="A265" s="2" t="s">
        <v>287</v>
      </c>
      <c r="B265" s="15">
        <v>46091</v>
      </c>
      <c r="C265" t="s">
        <v>692</v>
      </c>
      <c r="D265" s="3" t="s">
        <v>699</v>
      </c>
      <c r="E265" s="2" t="s">
        <v>46</v>
      </c>
      <c r="F265" s="3">
        <v>46083.728831018518</v>
      </c>
      <c r="G265" s="3" t="s">
        <v>692</v>
      </c>
      <c r="H265" t="s">
        <v>759</v>
      </c>
      <c r="I265" t="s">
        <v>699</v>
      </c>
      <c r="J265" s="2" t="s">
        <v>8</v>
      </c>
      <c r="K265" s="2" t="s">
        <v>726</v>
      </c>
      <c r="L265" s="2" t="s">
        <v>84</v>
      </c>
      <c r="M265" s="2" t="s">
        <v>544</v>
      </c>
      <c r="N265" s="2">
        <v>622</v>
      </c>
      <c r="O265" s="2" t="s">
        <v>0</v>
      </c>
      <c r="P265" s="2">
        <v>39359.85</v>
      </c>
      <c r="Q265" s="13">
        <v>24481826.699999999</v>
      </c>
      <c r="R265" t="s">
        <v>757</v>
      </c>
    </row>
    <row r="266" spans="1:18" x14ac:dyDescent="0.3">
      <c r="A266" s="2" t="s">
        <v>287</v>
      </c>
      <c r="B266" s="15">
        <v>46091</v>
      </c>
      <c r="C266" t="s">
        <v>692</v>
      </c>
      <c r="D266" s="3" t="s">
        <v>699</v>
      </c>
      <c r="E266" s="2" t="s">
        <v>46</v>
      </c>
      <c r="F266" s="3">
        <v>46083.728831018518</v>
      </c>
      <c r="G266" s="3" t="s">
        <v>692</v>
      </c>
      <c r="H266" t="s">
        <v>759</v>
      </c>
      <c r="I266" t="s">
        <v>699</v>
      </c>
      <c r="J266" s="2" t="s">
        <v>8</v>
      </c>
      <c r="K266" s="2" t="s">
        <v>726</v>
      </c>
      <c r="L266" s="2" t="s">
        <v>84</v>
      </c>
      <c r="M266" s="2" t="s">
        <v>545</v>
      </c>
      <c r="N266" s="2">
        <v>622</v>
      </c>
      <c r="O266" s="2" t="s">
        <v>0</v>
      </c>
      <c r="P266" s="2">
        <v>41978.78</v>
      </c>
      <c r="Q266" s="13">
        <v>26110801.16</v>
      </c>
      <c r="R266" t="s">
        <v>757</v>
      </c>
    </row>
    <row r="267" spans="1:18" x14ac:dyDescent="0.3">
      <c r="A267" s="2" t="s">
        <v>287</v>
      </c>
      <c r="B267" s="15">
        <v>46091</v>
      </c>
      <c r="C267" t="s">
        <v>692</v>
      </c>
      <c r="D267" s="3" t="s">
        <v>699</v>
      </c>
      <c r="E267" s="2" t="s">
        <v>46</v>
      </c>
      <c r="F267" s="3">
        <v>46083.728831018518</v>
      </c>
      <c r="G267" s="3" t="s">
        <v>692</v>
      </c>
      <c r="H267" t="s">
        <v>759</v>
      </c>
      <c r="I267" t="s">
        <v>699</v>
      </c>
      <c r="J267" s="2" t="s">
        <v>8</v>
      </c>
      <c r="K267" s="2" t="s">
        <v>726</v>
      </c>
      <c r="L267" s="2" t="s">
        <v>7</v>
      </c>
      <c r="M267" s="2" t="s">
        <v>546</v>
      </c>
      <c r="N267" s="2">
        <v>7</v>
      </c>
      <c r="O267" s="2" t="s">
        <v>0</v>
      </c>
      <c r="P267" s="2">
        <v>2846699.85</v>
      </c>
      <c r="Q267" s="13">
        <v>19926898.949999999</v>
      </c>
      <c r="R267" t="s">
        <v>757</v>
      </c>
    </row>
    <row r="268" spans="1:18" x14ac:dyDescent="0.3">
      <c r="A268" s="2" t="s">
        <v>287</v>
      </c>
      <c r="B268" s="15">
        <v>46091</v>
      </c>
      <c r="C268" t="s">
        <v>692</v>
      </c>
      <c r="D268" s="3" t="s">
        <v>699</v>
      </c>
      <c r="E268" s="2" t="s">
        <v>46</v>
      </c>
      <c r="F268" s="3">
        <v>46083.728831018518</v>
      </c>
      <c r="G268" s="3" t="s">
        <v>692</v>
      </c>
      <c r="H268" t="s">
        <v>759</v>
      </c>
      <c r="I268" t="s">
        <v>699</v>
      </c>
      <c r="J268" s="2" t="s">
        <v>8</v>
      </c>
      <c r="K268" s="2" t="s">
        <v>726</v>
      </c>
      <c r="L268" s="2" t="s">
        <v>7</v>
      </c>
      <c r="M268" s="2" t="s">
        <v>547</v>
      </c>
      <c r="N268" s="2">
        <v>7</v>
      </c>
      <c r="O268" s="2" t="s">
        <v>0</v>
      </c>
      <c r="P268" s="2">
        <v>853998.55</v>
      </c>
      <c r="Q268" s="13">
        <v>5977989.8500000006</v>
      </c>
      <c r="R268" t="s">
        <v>757</v>
      </c>
    </row>
    <row r="269" spans="1:18" x14ac:dyDescent="0.3">
      <c r="A269" s="2" t="s">
        <v>287</v>
      </c>
      <c r="B269" s="15">
        <v>46091</v>
      </c>
      <c r="C269" t="s">
        <v>692</v>
      </c>
      <c r="D269" s="3" t="s">
        <v>699</v>
      </c>
      <c r="E269" s="2" t="s">
        <v>46</v>
      </c>
      <c r="F269" s="3">
        <v>46083.728831018518</v>
      </c>
      <c r="G269" s="3" t="s">
        <v>692</v>
      </c>
      <c r="H269" t="s">
        <v>759</v>
      </c>
      <c r="I269" t="s">
        <v>699</v>
      </c>
      <c r="J269" s="2" t="s">
        <v>8</v>
      </c>
      <c r="K269" s="2" t="s">
        <v>726</v>
      </c>
      <c r="L269" s="2" t="s">
        <v>7</v>
      </c>
      <c r="M269" s="2" t="s">
        <v>548</v>
      </c>
      <c r="N269" s="2">
        <v>7</v>
      </c>
      <c r="O269" s="2" t="s">
        <v>0</v>
      </c>
      <c r="P269" s="2">
        <v>910931.8</v>
      </c>
      <c r="Q269" s="13">
        <v>6376522.6000000006</v>
      </c>
      <c r="R269" t="s">
        <v>757</v>
      </c>
    </row>
    <row r="270" spans="1:18" x14ac:dyDescent="0.3">
      <c r="A270" s="2" t="s">
        <v>287</v>
      </c>
      <c r="B270" s="15">
        <v>46091</v>
      </c>
      <c r="C270" t="s">
        <v>692</v>
      </c>
      <c r="D270" s="3" t="s">
        <v>699</v>
      </c>
      <c r="E270" s="2" t="s">
        <v>46</v>
      </c>
      <c r="F270" s="3">
        <v>46083.728831018518</v>
      </c>
      <c r="G270" s="3" t="s">
        <v>692</v>
      </c>
      <c r="H270" t="s">
        <v>759</v>
      </c>
      <c r="I270" t="s">
        <v>699</v>
      </c>
      <c r="J270" s="2" t="s">
        <v>8</v>
      </c>
      <c r="K270" s="2" t="s">
        <v>726</v>
      </c>
      <c r="L270" s="2" t="s">
        <v>7</v>
      </c>
      <c r="M270" s="2" t="s">
        <v>549</v>
      </c>
      <c r="N270" s="2">
        <v>14</v>
      </c>
      <c r="O270" s="2" t="s">
        <v>0</v>
      </c>
      <c r="P270" s="2">
        <v>1320889.08</v>
      </c>
      <c r="Q270" s="13">
        <v>18492447.120000001</v>
      </c>
      <c r="R270" t="s">
        <v>757</v>
      </c>
    </row>
    <row r="271" spans="1:18" x14ac:dyDescent="0.3">
      <c r="A271" s="2" t="s">
        <v>287</v>
      </c>
      <c r="B271" s="15">
        <v>46091</v>
      </c>
      <c r="C271" t="s">
        <v>692</v>
      </c>
      <c r="D271" s="3" t="s">
        <v>699</v>
      </c>
      <c r="E271" s="2" t="s">
        <v>46</v>
      </c>
      <c r="F271" s="3">
        <v>46083.728831018518</v>
      </c>
      <c r="G271" s="3" t="s">
        <v>692</v>
      </c>
      <c r="H271" t="s">
        <v>759</v>
      </c>
      <c r="I271" t="s">
        <v>699</v>
      </c>
      <c r="J271" s="2" t="s">
        <v>8</v>
      </c>
      <c r="K271" s="2" t="s">
        <v>726</v>
      </c>
      <c r="L271" s="2" t="s">
        <v>7</v>
      </c>
      <c r="M271" s="2" t="s">
        <v>550</v>
      </c>
      <c r="N271" s="2">
        <v>7</v>
      </c>
      <c r="O271" s="2" t="s">
        <v>0</v>
      </c>
      <c r="P271" s="2">
        <v>996369.6</v>
      </c>
      <c r="Q271" s="13">
        <v>6974587.2000000002</v>
      </c>
      <c r="R271" t="s">
        <v>757</v>
      </c>
    </row>
    <row r="272" spans="1:18" x14ac:dyDescent="0.3">
      <c r="A272" s="2" t="s">
        <v>287</v>
      </c>
      <c r="B272" s="15">
        <v>46091</v>
      </c>
      <c r="C272" t="s">
        <v>692</v>
      </c>
      <c r="D272" s="3" t="s">
        <v>699</v>
      </c>
      <c r="E272" s="2" t="s">
        <v>46</v>
      </c>
      <c r="F272" s="3">
        <v>46083.728831018518</v>
      </c>
      <c r="G272" s="3" t="s">
        <v>692</v>
      </c>
      <c r="H272" t="s">
        <v>759</v>
      </c>
      <c r="I272" t="s">
        <v>699</v>
      </c>
      <c r="J272" s="2" t="s">
        <v>8</v>
      </c>
      <c r="K272" s="2" t="s">
        <v>726</v>
      </c>
      <c r="L272" s="2" t="s">
        <v>82</v>
      </c>
      <c r="M272" s="2" t="s">
        <v>551</v>
      </c>
      <c r="N272" s="2">
        <v>8</v>
      </c>
      <c r="O272" s="2" t="s">
        <v>0</v>
      </c>
      <c r="P272" s="2">
        <v>60766.7</v>
      </c>
      <c r="Q272" s="13">
        <v>486133.6</v>
      </c>
      <c r="R272" t="s">
        <v>757</v>
      </c>
    </row>
    <row r="273" spans="1:18" x14ac:dyDescent="0.3">
      <c r="A273" s="2" t="s">
        <v>287</v>
      </c>
      <c r="B273" s="15">
        <v>46091</v>
      </c>
      <c r="C273" t="s">
        <v>692</v>
      </c>
      <c r="D273" s="3" t="s">
        <v>699</v>
      </c>
      <c r="E273" s="2" t="s">
        <v>46</v>
      </c>
      <c r="F273" s="3">
        <v>46083.728831018518</v>
      </c>
      <c r="G273" s="3" t="s">
        <v>692</v>
      </c>
      <c r="H273" t="s">
        <v>759</v>
      </c>
      <c r="I273" t="s">
        <v>699</v>
      </c>
      <c r="J273" s="2" t="s">
        <v>8</v>
      </c>
      <c r="K273" s="2" t="s">
        <v>726</v>
      </c>
      <c r="L273" s="2" t="s">
        <v>82</v>
      </c>
      <c r="M273" s="2" t="s">
        <v>552</v>
      </c>
      <c r="N273" s="2">
        <v>28</v>
      </c>
      <c r="O273" s="2" t="s">
        <v>0</v>
      </c>
      <c r="P273" s="2">
        <v>15182.19</v>
      </c>
      <c r="Q273" s="13">
        <v>425101.32</v>
      </c>
      <c r="R273" t="s">
        <v>757</v>
      </c>
    </row>
    <row r="274" spans="1:18" x14ac:dyDescent="0.3">
      <c r="A274" s="2" t="s">
        <v>287</v>
      </c>
      <c r="B274" s="15">
        <v>46091</v>
      </c>
      <c r="C274" t="s">
        <v>692</v>
      </c>
      <c r="D274" s="3" t="s">
        <v>699</v>
      </c>
      <c r="E274" s="2" t="s">
        <v>46</v>
      </c>
      <c r="F274" s="3">
        <v>46083.728831018518</v>
      </c>
      <c r="G274" s="3" t="s">
        <v>692</v>
      </c>
      <c r="H274" t="s">
        <v>759</v>
      </c>
      <c r="I274" t="s">
        <v>699</v>
      </c>
      <c r="J274" s="2" t="s">
        <v>8</v>
      </c>
      <c r="K274" s="2" t="s">
        <v>726</v>
      </c>
      <c r="L274" s="2" t="s">
        <v>82</v>
      </c>
      <c r="M274" s="2" t="s">
        <v>553</v>
      </c>
      <c r="N274" s="2">
        <v>3</v>
      </c>
      <c r="O274" s="2" t="s">
        <v>0</v>
      </c>
      <c r="P274" s="2">
        <v>103238.94</v>
      </c>
      <c r="Q274" s="13">
        <v>309716.82</v>
      </c>
      <c r="R274" t="s">
        <v>757</v>
      </c>
    </row>
    <row r="275" spans="1:18" x14ac:dyDescent="0.3">
      <c r="A275" s="2" t="s">
        <v>287</v>
      </c>
      <c r="B275" s="15">
        <v>46091</v>
      </c>
      <c r="C275" t="s">
        <v>692</v>
      </c>
      <c r="D275" s="3" t="s">
        <v>699</v>
      </c>
      <c r="E275" s="2" t="s">
        <v>46</v>
      </c>
      <c r="F275" s="3">
        <v>46083.728831018518</v>
      </c>
      <c r="G275" s="3" t="s">
        <v>692</v>
      </c>
      <c r="H275" t="s">
        <v>759</v>
      </c>
      <c r="I275" t="s">
        <v>699</v>
      </c>
      <c r="J275" s="2" t="s">
        <v>8</v>
      </c>
      <c r="K275" s="2" t="s">
        <v>726</v>
      </c>
      <c r="L275" s="2" t="s">
        <v>83</v>
      </c>
      <c r="M275" s="2" t="s">
        <v>554</v>
      </c>
      <c r="N275" s="2">
        <v>1</v>
      </c>
      <c r="O275" s="2" t="s">
        <v>0</v>
      </c>
      <c r="P275" s="2">
        <v>1450393.1</v>
      </c>
      <c r="Q275" s="13">
        <v>1450393.1</v>
      </c>
      <c r="R275" t="s">
        <v>757</v>
      </c>
    </row>
    <row r="276" spans="1:18" x14ac:dyDescent="0.3">
      <c r="A276" s="2" t="s">
        <v>287</v>
      </c>
      <c r="B276" s="15">
        <v>46091</v>
      </c>
      <c r="C276" t="s">
        <v>692</v>
      </c>
      <c r="D276" s="3" t="s">
        <v>699</v>
      </c>
      <c r="E276" s="2" t="s">
        <v>46</v>
      </c>
      <c r="F276" s="3">
        <v>46083.728831018518</v>
      </c>
      <c r="G276" s="3" t="s">
        <v>692</v>
      </c>
      <c r="H276" t="s">
        <v>759</v>
      </c>
      <c r="I276" t="s">
        <v>699</v>
      </c>
      <c r="J276" s="2" t="s">
        <v>8</v>
      </c>
      <c r="K276" s="2" t="s">
        <v>726</v>
      </c>
      <c r="L276" s="2" t="s">
        <v>83</v>
      </c>
      <c r="M276" s="2" t="s">
        <v>411</v>
      </c>
      <c r="N276" s="2">
        <v>7</v>
      </c>
      <c r="O276" s="2" t="s">
        <v>0</v>
      </c>
      <c r="P276" s="2">
        <v>119977.3</v>
      </c>
      <c r="Q276" s="13">
        <v>839841.1</v>
      </c>
      <c r="R276" t="s">
        <v>757</v>
      </c>
    </row>
    <row r="277" spans="1:18" x14ac:dyDescent="0.3">
      <c r="A277" s="2" t="s">
        <v>287</v>
      </c>
      <c r="B277" s="15">
        <v>46091</v>
      </c>
      <c r="C277" t="s">
        <v>692</v>
      </c>
      <c r="D277" s="3" t="s">
        <v>699</v>
      </c>
      <c r="E277" s="2" t="s">
        <v>46</v>
      </c>
      <c r="F277" s="3">
        <v>46083.728831018518</v>
      </c>
      <c r="G277" s="3" t="s">
        <v>692</v>
      </c>
      <c r="H277" t="s">
        <v>759</v>
      </c>
      <c r="I277" t="s">
        <v>699</v>
      </c>
      <c r="J277" s="2" t="s">
        <v>8</v>
      </c>
      <c r="K277" s="2" t="s">
        <v>726</v>
      </c>
      <c r="L277" s="2" t="s">
        <v>79</v>
      </c>
      <c r="M277" s="2" t="s">
        <v>454</v>
      </c>
      <c r="N277" s="2">
        <v>6</v>
      </c>
      <c r="O277" s="2" t="s">
        <v>0</v>
      </c>
      <c r="P277" s="2">
        <v>84450.95</v>
      </c>
      <c r="Q277" s="13">
        <v>506705.69999999995</v>
      </c>
      <c r="R277" t="s">
        <v>757</v>
      </c>
    </row>
    <row r="278" spans="1:18" x14ac:dyDescent="0.3">
      <c r="A278" s="2" t="s">
        <v>287</v>
      </c>
      <c r="B278" s="15">
        <v>46091</v>
      </c>
      <c r="C278" t="s">
        <v>692</v>
      </c>
      <c r="D278" s="3" t="s">
        <v>699</v>
      </c>
      <c r="E278" s="2" t="s">
        <v>46</v>
      </c>
      <c r="F278" s="3">
        <v>46083.728831018518</v>
      </c>
      <c r="G278" s="3" t="s">
        <v>692</v>
      </c>
      <c r="H278" t="s">
        <v>759</v>
      </c>
      <c r="I278" t="s">
        <v>699</v>
      </c>
      <c r="J278" s="2" t="s">
        <v>8</v>
      </c>
      <c r="K278" s="2" t="s">
        <v>726</v>
      </c>
      <c r="L278" s="2" t="s">
        <v>79</v>
      </c>
      <c r="M278" s="2" t="s">
        <v>455</v>
      </c>
      <c r="N278" s="2">
        <v>6</v>
      </c>
      <c r="O278" s="2" t="s">
        <v>0</v>
      </c>
      <c r="P278" s="2">
        <v>107641.85</v>
      </c>
      <c r="Q278" s="13">
        <v>645851.10000000009</v>
      </c>
      <c r="R278" t="s">
        <v>757</v>
      </c>
    </row>
    <row r="279" spans="1:18" x14ac:dyDescent="0.3">
      <c r="A279" s="2" t="s">
        <v>287</v>
      </c>
      <c r="B279" s="15">
        <v>46091</v>
      </c>
      <c r="C279" t="s">
        <v>692</v>
      </c>
      <c r="D279" s="3" t="s">
        <v>699</v>
      </c>
      <c r="E279" s="2" t="s">
        <v>46</v>
      </c>
      <c r="F279" s="3">
        <v>46083.728831018518</v>
      </c>
      <c r="G279" s="3" t="s">
        <v>692</v>
      </c>
      <c r="H279" t="s">
        <v>759</v>
      </c>
      <c r="I279" t="s">
        <v>699</v>
      </c>
      <c r="J279" s="2" t="s">
        <v>8</v>
      </c>
      <c r="K279" s="2" t="s">
        <v>726</v>
      </c>
      <c r="L279" s="2" t="s">
        <v>79</v>
      </c>
      <c r="M279" s="2" t="s">
        <v>555</v>
      </c>
      <c r="N279" s="2">
        <v>17</v>
      </c>
      <c r="O279" s="2" t="s">
        <v>0</v>
      </c>
      <c r="P279" s="2">
        <v>9147.31</v>
      </c>
      <c r="Q279" s="13">
        <v>155504.26999999999</v>
      </c>
      <c r="R279" t="s">
        <v>757</v>
      </c>
    </row>
    <row r="280" spans="1:18" x14ac:dyDescent="0.3">
      <c r="A280" s="2" t="s">
        <v>287</v>
      </c>
      <c r="B280" s="15">
        <v>46091</v>
      </c>
      <c r="C280" t="s">
        <v>692</v>
      </c>
      <c r="D280" s="3" t="s">
        <v>699</v>
      </c>
      <c r="E280" s="2" t="s">
        <v>46</v>
      </c>
      <c r="F280" s="3">
        <v>46083.728831018518</v>
      </c>
      <c r="G280" s="3" t="s">
        <v>692</v>
      </c>
      <c r="H280" t="s">
        <v>759</v>
      </c>
      <c r="I280" t="s">
        <v>699</v>
      </c>
      <c r="J280" s="2" t="s">
        <v>8</v>
      </c>
      <c r="K280" s="2" t="s">
        <v>726</v>
      </c>
      <c r="L280" s="2" t="s">
        <v>83</v>
      </c>
      <c r="M280" s="2" t="s">
        <v>479</v>
      </c>
      <c r="N280" s="2">
        <v>36</v>
      </c>
      <c r="O280" s="2" t="s">
        <v>0</v>
      </c>
      <c r="P280" s="2">
        <v>71508.149999999994</v>
      </c>
      <c r="Q280" s="13">
        <v>2574293.4</v>
      </c>
      <c r="R280" t="s">
        <v>757</v>
      </c>
    </row>
    <row r="281" spans="1:18" x14ac:dyDescent="0.3">
      <c r="A281" s="2" t="s">
        <v>287</v>
      </c>
      <c r="B281" s="15">
        <v>46091</v>
      </c>
      <c r="C281" t="s">
        <v>692</v>
      </c>
      <c r="D281" s="3" t="s">
        <v>699</v>
      </c>
      <c r="E281" s="2" t="s">
        <v>46</v>
      </c>
      <c r="F281" s="3">
        <v>46083.728831018518</v>
      </c>
      <c r="G281" s="3" t="s">
        <v>692</v>
      </c>
      <c r="H281" t="s">
        <v>759</v>
      </c>
      <c r="I281" t="s">
        <v>699</v>
      </c>
      <c r="J281" s="2" t="s">
        <v>8</v>
      </c>
      <c r="K281" s="2" t="s">
        <v>726</v>
      </c>
      <c r="L281" s="2" t="s">
        <v>79</v>
      </c>
      <c r="M281" s="2" t="s">
        <v>556</v>
      </c>
      <c r="N281" s="2">
        <v>72</v>
      </c>
      <c r="O281" s="2" t="s">
        <v>0</v>
      </c>
      <c r="P281" s="2">
        <v>13170.55</v>
      </c>
      <c r="Q281" s="13">
        <v>948279.6</v>
      </c>
      <c r="R281" t="s">
        <v>757</v>
      </c>
    </row>
    <row r="282" spans="1:18" x14ac:dyDescent="0.3">
      <c r="A282" s="2" t="s">
        <v>287</v>
      </c>
      <c r="B282" s="15">
        <v>46091</v>
      </c>
      <c r="C282" t="s">
        <v>692</v>
      </c>
      <c r="D282" s="3" t="s">
        <v>699</v>
      </c>
      <c r="E282" s="2" t="s">
        <v>46</v>
      </c>
      <c r="F282" s="3">
        <v>46083.728831018518</v>
      </c>
      <c r="G282" s="3" t="s">
        <v>692</v>
      </c>
      <c r="H282" t="s">
        <v>759</v>
      </c>
      <c r="I282" t="s">
        <v>699</v>
      </c>
      <c r="J282" s="2" t="s">
        <v>8</v>
      </c>
      <c r="K282" s="2" t="s">
        <v>726</v>
      </c>
      <c r="L282" s="2" t="s">
        <v>92</v>
      </c>
      <c r="M282" s="2" t="s">
        <v>557</v>
      </c>
      <c r="N282" s="2">
        <v>7</v>
      </c>
      <c r="O282" s="2" t="s">
        <v>0</v>
      </c>
      <c r="P282" s="2">
        <v>1021951.62</v>
      </c>
      <c r="Q282" s="13">
        <v>7153661.3399999999</v>
      </c>
      <c r="R282" t="s">
        <v>757</v>
      </c>
    </row>
    <row r="283" spans="1:18" x14ac:dyDescent="0.3">
      <c r="A283" s="2" t="s">
        <v>287</v>
      </c>
      <c r="B283" s="15">
        <v>46091</v>
      </c>
      <c r="C283" t="s">
        <v>692</v>
      </c>
      <c r="D283" s="3" t="s">
        <v>699</v>
      </c>
      <c r="E283" s="2" t="s">
        <v>46</v>
      </c>
      <c r="F283" s="3">
        <v>46083.728831018518</v>
      </c>
      <c r="G283" s="3" t="s">
        <v>692</v>
      </c>
      <c r="H283" t="s">
        <v>759</v>
      </c>
      <c r="I283" t="s">
        <v>699</v>
      </c>
      <c r="J283" s="2" t="s">
        <v>8</v>
      </c>
      <c r="K283" s="2" t="s">
        <v>726</v>
      </c>
      <c r="L283" s="2" t="s">
        <v>90</v>
      </c>
      <c r="M283" s="2" t="s">
        <v>527</v>
      </c>
      <c r="N283" s="2">
        <v>382</v>
      </c>
      <c r="O283" s="2" t="s">
        <v>0</v>
      </c>
      <c r="P283" s="2">
        <v>27555.69</v>
      </c>
      <c r="Q283" s="13">
        <v>10526273.58</v>
      </c>
      <c r="R283" t="s">
        <v>757</v>
      </c>
    </row>
    <row r="284" spans="1:18" x14ac:dyDescent="0.3">
      <c r="A284" s="2" t="s">
        <v>287</v>
      </c>
      <c r="B284" s="15">
        <v>46091</v>
      </c>
      <c r="C284" t="s">
        <v>692</v>
      </c>
      <c r="D284" s="3" t="s">
        <v>699</v>
      </c>
      <c r="E284" s="2" t="s">
        <v>46</v>
      </c>
      <c r="F284" s="3">
        <v>46083.728831018518</v>
      </c>
      <c r="G284" s="3" t="s">
        <v>692</v>
      </c>
      <c r="H284" t="s">
        <v>759</v>
      </c>
      <c r="I284" t="s">
        <v>699</v>
      </c>
      <c r="J284" s="2" t="s">
        <v>8</v>
      </c>
      <c r="K284" s="2" t="s">
        <v>726</v>
      </c>
      <c r="L284" s="2" t="s">
        <v>79</v>
      </c>
      <c r="M284" s="2" t="s">
        <v>528</v>
      </c>
      <c r="N284" s="2">
        <v>237</v>
      </c>
      <c r="O284" s="2" t="s">
        <v>0</v>
      </c>
      <c r="P284" s="2">
        <v>8350.2199999999993</v>
      </c>
      <c r="Q284" s="13">
        <v>1979002.14</v>
      </c>
      <c r="R284" t="s">
        <v>757</v>
      </c>
    </row>
    <row r="285" spans="1:18" x14ac:dyDescent="0.3">
      <c r="A285" s="2" t="s">
        <v>287</v>
      </c>
      <c r="B285" s="15">
        <v>46091</v>
      </c>
      <c r="C285" t="s">
        <v>692</v>
      </c>
      <c r="D285" s="3" t="s">
        <v>699</v>
      </c>
      <c r="E285" s="2" t="s">
        <v>46</v>
      </c>
      <c r="F285" s="3">
        <v>46083.728831018518</v>
      </c>
      <c r="G285" s="3" t="s">
        <v>692</v>
      </c>
      <c r="H285" t="s">
        <v>759</v>
      </c>
      <c r="I285" t="s">
        <v>699</v>
      </c>
      <c r="J285" s="2" t="s">
        <v>8</v>
      </c>
      <c r="K285" s="2" t="s">
        <v>726</v>
      </c>
      <c r="L285" s="2" t="s">
        <v>79</v>
      </c>
      <c r="M285" s="2" t="s">
        <v>409</v>
      </c>
      <c r="N285" s="2">
        <v>15</v>
      </c>
      <c r="O285" s="2" t="s">
        <v>0</v>
      </c>
      <c r="P285" s="2">
        <v>162297.65</v>
      </c>
      <c r="Q285" s="13">
        <v>2434464.75</v>
      </c>
      <c r="R285" t="s">
        <v>757</v>
      </c>
    </row>
    <row r="286" spans="1:18" x14ac:dyDescent="0.3">
      <c r="A286" s="2" t="s">
        <v>287</v>
      </c>
      <c r="B286" s="15">
        <v>46091</v>
      </c>
      <c r="C286" t="s">
        <v>692</v>
      </c>
      <c r="D286" s="3" t="s">
        <v>699</v>
      </c>
      <c r="E286" s="2" t="s">
        <v>46</v>
      </c>
      <c r="F286" s="3">
        <v>46083.728831018518</v>
      </c>
      <c r="G286" s="3" t="s">
        <v>692</v>
      </c>
      <c r="H286" t="s">
        <v>759</v>
      </c>
      <c r="I286" t="s">
        <v>699</v>
      </c>
      <c r="J286" s="2" t="s">
        <v>8</v>
      </c>
      <c r="K286" s="2" t="s">
        <v>726</v>
      </c>
      <c r="L286" s="2" t="s">
        <v>79</v>
      </c>
      <c r="M286" s="2" t="s">
        <v>388</v>
      </c>
      <c r="N286" s="2">
        <v>8</v>
      </c>
      <c r="O286" s="2" t="s">
        <v>0</v>
      </c>
      <c r="P286" s="2">
        <v>296698.09999999998</v>
      </c>
      <c r="Q286" s="13">
        <v>2373584.7999999998</v>
      </c>
      <c r="R286" t="s">
        <v>757</v>
      </c>
    </row>
    <row r="287" spans="1:18" x14ac:dyDescent="0.3">
      <c r="A287" s="2" t="s">
        <v>287</v>
      </c>
      <c r="B287" s="15">
        <v>46091</v>
      </c>
      <c r="C287" t="s">
        <v>692</v>
      </c>
      <c r="D287" s="3" t="s">
        <v>699</v>
      </c>
      <c r="E287" s="2" t="s">
        <v>46</v>
      </c>
      <c r="F287" s="3">
        <v>46083.728831018518</v>
      </c>
      <c r="G287" s="3" t="s">
        <v>692</v>
      </c>
      <c r="H287" t="s">
        <v>759</v>
      </c>
      <c r="I287" t="s">
        <v>699</v>
      </c>
      <c r="J287" s="2" t="s">
        <v>8</v>
      </c>
      <c r="K287" s="2" t="s">
        <v>726</v>
      </c>
      <c r="L287" s="2" t="s">
        <v>83</v>
      </c>
      <c r="M287" s="2" t="s">
        <v>558</v>
      </c>
      <c r="N287" s="2">
        <v>7</v>
      </c>
      <c r="O287" s="2" t="s">
        <v>0</v>
      </c>
      <c r="P287" s="2">
        <v>91624.61</v>
      </c>
      <c r="Q287" s="13">
        <v>641372.27</v>
      </c>
      <c r="R287" t="s">
        <v>757</v>
      </c>
    </row>
    <row r="288" spans="1:18" x14ac:dyDescent="0.3">
      <c r="A288" s="2" t="s">
        <v>287</v>
      </c>
      <c r="B288" s="15">
        <v>46091</v>
      </c>
      <c r="C288" t="s">
        <v>692</v>
      </c>
      <c r="D288" s="3" t="s">
        <v>699</v>
      </c>
      <c r="E288" s="2" t="s">
        <v>46</v>
      </c>
      <c r="F288" s="3">
        <v>46083.728831018518</v>
      </c>
      <c r="G288" s="3" t="s">
        <v>692</v>
      </c>
      <c r="H288" t="s">
        <v>759</v>
      </c>
      <c r="I288" t="s">
        <v>699</v>
      </c>
      <c r="J288" s="2" t="s">
        <v>8</v>
      </c>
      <c r="K288" s="2" t="s">
        <v>726</v>
      </c>
      <c r="L288" s="2" t="s">
        <v>83</v>
      </c>
      <c r="M288" s="2" t="s">
        <v>446</v>
      </c>
      <c r="N288" s="2">
        <v>2</v>
      </c>
      <c r="O288" s="2" t="s">
        <v>0</v>
      </c>
      <c r="P288" s="2">
        <v>26743440</v>
      </c>
      <c r="Q288" s="13">
        <v>53486880</v>
      </c>
      <c r="R288" t="s">
        <v>757</v>
      </c>
    </row>
    <row r="289" spans="1:18" x14ac:dyDescent="0.3">
      <c r="A289" s="2" t="s">
        <v>288</v>
      </c>
      <c r="B289" s="15">
        <v>46087</v>
      </c>
      <c r="C289" t="s">
        <v>692</v>
      </c>
      <c r="D289" s="3" t="s">
        <v>699</v>
      </c>
      <c r="E289" s="2" t="s">
        <v>69</v>
      </c>
      <c r="F289" s="3">
        <v>46050.437291666669</v>
      </c>
      <c r="G289" s="3" t="s">
        <v>690</v>
      </c>
      <c r="H289" t="s">
        <v>759</v>
      </c>
      <c r="I289" t="s">
        <v>699</v>
      </c>
      <c r="J289" s="2" t="s">
        <v>2</v>
      </c>
      <c r="K289" s="2" t="s">
        <v>726</v>
      </c>
      <c r="L289" s="2" t="s">
        <v>80</v>
      </c>
      <c r="M289" s="2" t="s">
        <v>486</v>
      </c>
      <c r="N289" s="2">
        <v>24</v>
      </c>
      <c r="O289" s="2" t="s">
        <v>0</v>
      </c>
      <c r="P289" s="2">
        <v>691318.49</v>
      </c>
      <c r="Q289" s="13">
        <v>16591643.76</v>
      </c>
      <c r="R289" t="s">
        <v>757</v>
      </c>
    </row>
    <row r="290" spans="1:18" x14ac:dyDescent="0.3">
      <c r="A290" s="2" t="s">
        <v>289</v>
      </c>
      <c r="B290" s="15">
        <v>46087</v>
      </c>
      <c r="C290" t="s">
        <v>692</v>
      </c>
      <c r="D290" s="3" t="s">
        <v>699</v>
      </c>
      <c r="E290" s="2" t="s">
        <v>68</v>
      </c>
      <c r="F290" s="3">
        <v>46050.450659722221</v>
      </c>
      <c r="G290" s="3" t="s">
        <v>690</v>
      </c>
      <c r="H290" t="s">
        <v>759</v>
      </c>
      <c r="I290" t="s">
        <v>699</v>
      </c>
      <c r="J290" s="2" t="s">
        <v>2</v>
      </c>
      <c r="K290" s="2" t="s">
        <v>726</v>
      </c>
      <c r="L290" s="2" t="s">
        <v>80</v>
      </c>
      <c r="M290" s="2" t="s">
        <v>486</v>
      </c>
      <c r="N290" s="2">
        <v>16</v>
      </c>
      <c r="O290" s="2" t="s">
        <v>0</v>
      </c>
      <c r="P290" s="2">
        <v>598706.15</v>
      </c>
      <c r="Q290" s="13">
        <v>9579298.4000000004</v>
      </c>
      <c r="R290" t="s">
        <v>757</v>
      </c>
    </row>
    <row r="291" spans="1:18" x14ac:dyDescent="0.3">
      <c r="A291" s="2" t="s">
        <v>290</v>
      </c>
      <c r="B291" s="15">
        <v>46080</v>
      </c>
      <c r="C291" t="s">
        <v>691</v>
      </c>
      <c r="D291" s="3" t="s">
        <v>699</v>
      </c>
      <c r="E291" s="2" t="s">
        <v>53</v>
      </c>
      <c r="F291" s="3">
        <v>46073.378969907397</v>
      </c>
      <c r="G291" s="3" t="s">
        <v>691</v>
      </c>
      <c r="H291" t="s">
        <v>759</v>
      </c>
      <c r="I291" t="s">
        <v>699</v>
      </c>
      <c r="J291" s="2" t="s">
        <v>8</v>
      </c>
      <c r="K291" s="2" t="s">
        <v>726</v>
      </c>
      <c r="L291" s="2" t="s">
        <v>7</v>
      </c>
      <c r="M291" s="2" t="s">
        <v>559</v>
      </c>
      <c r="N291" s="2">
        <v>1</v>
      </c>
      <c r="O291" s="2" t="s">
        <v>0</v>
      </c>
      <c r="P291" s="2">
        <v>6013053.7800000003</v>
      </c>
      <c r="Q291" s="13">
        <v>6013053.7800000003</v>
      </c>
      <c r="R291" t="s">
        <v>757</v>
      </c>
    </row>
    <row r="292" spans="1:18" x14ac:dyDescent="0.3">
      <c r="A292" s="2" t="s">
        <v>290</v>
      </c>
      <c r="B292" s="15">
        <v>46080</v>
      </c>
      <c r="C292" t="s">
        <v>691</v>
      </c>
      <c r="D292" s="3" t="s">
        <v>699</v>
      </c>
      <c r="E292" s="2" t="s">
        <v>53</v>
      </c>
      <c r="F292" s="3">
        <v>46073.378969907397</v>
      </c>
      <c r="G292" s="3" t="s">
        <v>691</v>
      </c>
      <c r="H292" t="s">
        <v>759</v>
      </c>
      <c r="I292" t="s">
        <v>699</v>
      </c>
      <c r="J292" s="2" t="s">
        <v>8</v>
      </c>
      <c r="K292" s="2" t="s">
        <v>726</v>
      </c>
      <c r="L292" s="2" t="s">
        <v>92</v>
      </c>
      <c r="M292" s="2" t="s">
        <v>560</v>
      </c>
      <c r="N292" s="2">
        <v>1</v>
      </c>
      <c r="O292" s="2" t="s">
        <v>0</v>
      </c>
      <c r="P292" s="2">
        <v>260368.07</v>
      </c>
      <c r="Q292" s="13">
        <v>260368.07</v>
      </c>
      <c r="R292" t="s">
        <v>757</v>
      </c>
    </row>
    <row r="293" spans="1:18" x14ac:dyDescent="0.3">
      <c r="A293" s="2" t="s">
        <v>291</v>
      </c>
      <c r="B293" s="15">
        <v>46080</v>
      </c>
      <c r="C293" t="s">
        <v>691</v>
      </c>
      <c r="D293" s="3" t="s">
        <v>699</v>
      </c>
      <c r="E293" s="2" t="s">
        <v>69</v>
      </c>
      <c r="F293" s="3">
        <v>46050.437291666669</v>
      </c>
      <c r="G293" s="3" t="s">
        <v>690</v>
      </c>
      <c r="H293" t="s">
        <v>759</v>
      </c>
      <c r="I293" t="s">
        <v>699</v>
      </c>
      <c r="J293" s="2" t="s">
        <v>2</v>
      </c>
      <c r="K293" s="2" t="s">
        <v>726</v>
      </c>
      <c r="L293" s="2" t="s">
        <v>80</v>
      </c>
      <c r="M293" s="2" t="s">
        <v>561</v>
      </c>
      <c r="N293" s="2">
        <v>6</v>
      </c>
      <c r="O293" s="2" t="s">
        <v>0</v>
      </c>
      <c r="P293" s="2">
        <v>626275.21</v>
      </c>
      <c r="Q293" s="13">
        <v>3757651.26</v>
      </c>
      <c r="R293" t="s">
        <v>757</v>
      </c>
    </row>
    <row r="294" spans="1:18" x14ac:dyDescent="0.3">
      <c r="A294" s="2" t="s">
        <v>291</v>
      </c>
      <c r="B294" s="15">
        <v>46080</v>
      </c>
      <c r="C294" t="s">
        <v>691</v>
      </c>
      <c r="D294" s="3" t="s">
        <v>699</v>
      </c>
      <c r="E294" s="2" t="s">
        <v>69</v>
      </c>
      <c r="F294" s="3">
        <v>46050.437291666669</v>
      </c>
      <c r="G294" s="3" t="s">
        <v>690</v>
      </c>
      <c r="H294" t="s">
        <v>759</v>
      </c>
      <c r="I294" t="s">
        <v>699</v>
      </c>
      <c r="J294" s="2" t="s">
        <v>2</v>
      </c>
      <c r="K294" s="2" t="s">
        <v>726</v>
      </c>
      <c r="L294" s="2" t="s">
        <v>80</v>
      </c>
      <c r="M294" s="2" t="s">
        <v>562</v>
      </c>
      <c r="N294" s="2">
        <v>5</v>
      </c>
      <c r="O294" s="2" t="s">
        <v>0</v>
      </c>
      <c r="P294" s="2">
        <v>1641229.41</v>
      </c>
      <c r="Q294" s="13">
        <v>8206147.0499999998</v>
      </c>
      <c r="R294" t="s">
        <v>757</v>
      </c>
    </row>
    <row r="295" spans="1:18" x14ac:dyDescent="0.3">
      <c r="A295" s="2" t="s">
        <v>291</v>
      </c>
      <c r="B295" s="15">
        <v>46080</v>
      </c>
      <c r="C295" t="s">
        <v>691</v>
      </c>
      <c r="D295" s="3" t="s">
        <v>699</v>
      </c>
      <c r="E295" s="2" t="s">
        <v>69</v>
      </c>
      <c r="F295" s="3">
        <v>46050.437291666669</v>
      </c>
      <c r="G295" s="3" t="s">
        <v>690</v>
      </c>
      <c r="H295" t="s">
        <v>759</v>
      </c>
      <c r="I295" t="s">
        <v>699</v>
      </c>
      <c r="J295" s="2" t="s">
        <v>2</v>
      </c>
      <c r="K295" s="2" t="s">
        <v>726</v>
      </c>
      <c r="L295" s="2" t="s">
        <v>80</v>
      </c>
      <c r="M295" s="2" t="s">
        <v>563</v>
      </c>
      <c r="N295" s="2">
        <v>1</v>
      </c>
      <c r="O295" s="2" t="s">
        <v>0</v>
      </c>
      <c r="P295" s="2">
        <v>5540949.5800000001</v>
      </c>
      <c r="Q295" s="13">
        <v>5540949.5800000001</v>
      </c>
      <c r="R295" t="s">
        <v>757</v>
      </c>
    </row>
    <row r="296" spans="1:18" x14ac:dyDescent="0.3">
      <c r="A296" s="2" t="s">
        <v>292</v>
      </c>
      <c r="B296" s="15">
        <v>46080</v>
      </c>
      <c r="C296" t="s">
        <v>691</v>
      </c>
      <c r="D296" s="3" t="s">
        <v>699</v>
      </c>
      <c r="E296" s="2" t="s">
        <v>68</v>
      </c>
      <c r="F296" s="3">
        <v>46050.450659722221</v>
      </c>
      <c r="G296" s="3" t="s">
        <v>690</v>
      </c>
      <c r="H296" t="s">
        <v>759</v>
      </c>
      <c r="I296" t="s">
        <v>699</v>
      </c>
      <c r="J296" s="2" t="s">
        <v>2</v>
      </c>
      <c r="K296" s="2" t="s">
        <v>726</v>
      </c>
      <c r="L296" s="2" t="s">
        <v>80</v>
      </c>
      <c r="M296" s="2" t="s">
        <v>562</v>
      </c>
      <c r="N296" s="2">
        <v>3</v>
      </c>
      <c r="O296" s="2" t="s">
        <v>0</v>
      </c>
      <c r="P296" s="2">
        <v>1662284.87</v>
      </c>
      <c r="Q296" s="13">
        <v>4986854.6100000003</v>
      </c>
      <c r="R296" t="s">
        <v>757</v>
      </c>
    </row>
    <row r="297" spans="1:18" x14ac:dyDescent="0.3">
      <c r="A297" s="2" t="s">
        <v>293</v>
      </c>
      <c r="B297" s="15">
        <v>46078</v>
      </c>
      <c r="C297" t="s">
        <v>691</v>
      </c>
      <c r="D297" s="3" t="s">
        <v>699</v>
      </c>
      <c r="E297" s="2" t="s">
        <v>223</v>
      </c>
      <c r="F297" s="3">
        <v>45994.679652777777</v>
      </c>
      <c r="G297" s="3" t="s">
        <v>724</v>
      </c>
      <c r="H297" t="s">
        <v>760</v>
      </c>
      <c r="I297" t="s">
        <v>703</v>
      </c>
      <c r="J297" s="2" t="s">
        <v>1</v>
      </c>
      <c r="K297" s="2" t="s">
        <v>6</v>
      </c>
      <c r="L297" s="2" t="s">
        <v>6</v>
      </c>
      <c r="M297" s="2" t="s">
        <v>564</v>
      </c>
      <c r="N297" s="2">
        <v>1</v>
      </c>
      <c r="O297" s="2" t="s">
        <v>0</v>
      </c>
      <c r="P297" s="2">
        <v>1291784.8700000001</v>
      </c>
      <c r="Q297" s="13">
        <v>1291784.8700000001</v>
      </c>
      <c r="R297" t="s">
        <v>757</v>
      </c>
    </row>
    <row r="298" spans="1:18" x14ac:dyDescent="0.3">
      <c r="A298" s="2" t="s">
        <v>293</v>
      </c>
      <c r="B298" s="15">
        <v>46078</v>
      </c>
      <c r="C298" t="s">
        <v>691</v>
      </c>
      <c r="D298" s="3" t="s">
        <v>699</v>
      </c>
      <c r="E298" s="2" t="s">
        <v>223</v>
      </c>
      <c r="F298" s="3">
        <v>45994.679652777777</v>
      </c>
      <c r="G298" s="3" t="s">
        <v>724</v>
      </c>
      <c r="H298" t="s">
        <v>760</v>
      </c>
      <c r="I298" t="s">
        <v>703</v>
      </c>
      <c r="J298" s="2" t="s">
        <v>1</v>
      </c>
      <c r="K298" s="2" t="s">
        <v>6</v>
      </c>
      <c r="L298" s="2" t="s">
        <v>6</v>
      </c>
      <c r="M298" s="2" t="s">
        <v>565</v>
      </c>
      <c r="N298" s="2">
        <v>1</v>
      </c>
      <c r="O298" s="2" t="s">
        <v>0</v>
      </c>
      <c r="P298" s="2">
        <v>120906.72</v>
      </c>
      <c r="Q298" s="13">
        <v>120906.72</v>
      </c>
      <c r="R298" t="s">
        <v>757</v>
      </c>
    </row>
    <row r="299" spans="1:18" x14ac:dyDescent="0.3">
      <c r="A299" s="2" t="s">
        <v>293</v>
      </c>
      <c r="B299" s="15">
        <v>46078</v>
      </c>
      <c r="C299" t="s">
        <v>691</v>
      </c>
      <c r="D299" s="3" t="s">
        <v>699</v>
      </c>
      <c r="E299" s="2" t="s">
        <v>223</v>
      </c>
      <c r="F299" s="3">
        <v>45994.679652777777</v>
      </c>
      <c r="G299" s="3" t="s">
        <v>724</v>
      </c>
      <c r="H299" t="s">
        <v>760</v>
      </c>
      <c r="I299" t="s">
        <v>703</v>
      </c>
      <c r="J299" s="2" t="s">
        <v>1</v>
      </c>
      <c r="K299" s="2" t="s">
        <v>6</v>
      </c>
      <c r="L299" s="2" t="s">
        <v>6</v>
      </c>
      <c r="M299" s="2" t="s">
        <v>566</v>
      </c>
      <c r="N299" s="2">
        <v>17</v>
      </c>
      <c r="O299" s="2" t="s">
        <v>0</v>
      </c>
      <c r="P299" s="2">
        <v>138266.98000000001</v>
      </c>
      <c r="Q299" s="13">
        <v>2350538.66</v>
      </c>
      <c r="R299" t="s">
        <v>757</v>
      </c>
    </row>
    <row r="300" spans="1:18" x14ac:dyDescent="0.3">
      <c r="A300" s="2" t="s">
        <v>293</v>
      </c>
      <c r="B300" s="15">
        <v>46078</v>
      </c>
      <c r="C300" t="s">
        <v>691</v>
      </c>
      <c r="D300" s="3" t="s">
        <v>699</v>
      </c>
      <c r="E300" s="2" t="s">
        <v>223</v>
      </c>
      <c r="F300" s="3">
        <v>45994.679652777777</v>
      </c>
      <c r="G300" s="3" t="s">
        <v>724</v>
      </c>
      <c r="H300" t="s">
        <v>760</v>
      </c>
      <c r="I300" t="s">
        <v>703</v>
      </c>
      <c r="J300" s="2" t="s">
        <v>1</v>
      </c>
      <c r="K300" s="2" t="s">
        <v>6</v>
      </c>
      <c r="L300" s="2" t="s">
        <v>6</v>
      </c>
      <c r="M300" s="2" t="s">
        <v>567</v>
      </c>
      <c r="N300" s="2">
        <v>6</v>
      </c>
      <c r="O300" s="2" t="s">
        <v>0</v>
      </c>
      <c r="P300" s="2">
        <v>188251.96</v>
      </c>
      <c r="Q300" s="13">
        <v>1129511.76</v>
      </c>
      <c r="R300" t="s">
        <v>757</v>
      </c>
    </row>
    <row r="301" spans="1:18" x14ac:dyDescent="0.3">
      <c r="A301" s="2" t="s">
        <v>293</v>
      </c>
      <c r="B301" s="15">
        <v>46078</v>
      </c>
      <c r="C301" t="s">
        <v>691</v>
      </c>
      <c r="D301" s="3" t="s">
        <v>699</v>
      </c>
      <c r="E301" s="2" t="s">
        <v>223</v>
      </c>
      <c r="F301" s="3">
        <v>45994.679652777777</v>
      </c>
      <c r="G301" s="3" t="s">
        <v>724</v>
      </c>
      <c r="H301" t="s">
        <v>760</v>
      </c>
      <c r="I301" t="s">
        <v>703</v>
      </c>
      <c r="J301" s="2" t="s">
        <v>1</v>
      </c>
      <c r="K301" s="2" t="s">
        <v>6</v>
      </c>
      <c r="L301" s="2" t="s">
        <v>6</v>
      </c>
      <c r="M301" s="2" t="s">
        <v>568</v>
      </c>
      <c r="N301" s="2">
        <v>2</v>
      </c>
      <c r="O301" s="2" t="s">
        <v>0</v>
      </c>
      <c r="P301" s="2">
        <v>35878.15</v>
      </c>
      <c r="Q301" s="13">
        <v>71756.3</v>
      </c>
      <c r="R301" t="s">
        <v>757</v>
      </c>
    </row>
    <row r="302" spans="1:18" x14ac:dyDescent="0.3">
      <c r="A302" s="2" t="s">
        <v>293</v>
      </c>
      <c r="B302" s="15">
        <v>46078</v>
      </c>
      <c r="C302" t="s">
        <v>691</v>
      </c>
      <c r="D302" s="3" t="s">
        <v>699</v>
      </c>
      <c r="E302" s="2" t="s">
        <v>223</v>
      </c>
      <c r="F302" s="3">
        <v>45994.679652777777</v>
      </c>
      <c r="G302" s="3" t="s">
        <v>724</v>
      </c>
      <c r="H302" t="s">
        <v>760</v>
      </c>
      <c r="I302" t="s">
        <v>703</v>
      </c>
      <c r="J302" s="2" t="s">
        <v>1</v>
      </c>
      <c r="K302" s="2" t="s">
        <v>6</v>
      </c>
      <c r="L302" s="2" t="s">
        <v>6</v>
      </c>
      <c r="M302" s="2" t="s">
        <v>569</v>
      </c>
      <c r="N302" s="2">
        <v>1</v>
      </c>
      <c r="O302" s="2" t="s">
        <v>0</v>
      </c>
      <c r="P302" s="2">
        <v>1138772.27</v>
      </c>
      <c r="Q302" s="13">
        <v>1138772.27</v>
      </c>
      <c r="R302" t="s">
        <v>757</v>
      </c>
    </row>
    <row r="303" spans="1:18" x14ac:dyDescent="0.3">
      <c r="A303" s="2" t="s">
        <v>293</v>
      </c>
      <c r="B303" s="15">
        <v>46078</v>
      </c>
      <c r="C303" t="s">
        <v>691</v>
      </c>
      <c r="D303" s="3" t="s">
        <v>699</v>
      </c>
      <c r="E303" s="2" t="s">
        <v>223</v>
      </c>
      <c r="F303" s="3">
        <v>45994.679652777777</v>
      </c>
      <c r="G303" s="3" t="s">
        <v>724</v>
      </c>
      <c r="H303" t="s">
        <v>760</v>
      </c>
      <c r="I303" t="s">
        <v>703</v>
      </c>
      <c r="J303" s="2" t="s">
        <v>1</v>
      </c>
      <c r="K303" s="2" t="s">
        <v>6</v>
      </c>
      <c r="L303" s="2" t="s">
        <v>6</v>
      </c>
      <c r="M303" s="2" t="s">
        <v>570</v>
      </c>
      <c r="N303" s="2">
        <v>11</v>
      </c>
      <c r="O303" s="2" t="s">
        <v>0</v>
      </c>
      <c r="P303" s="2">
        <v>1838302.98</v>
      </c>
      <c r="Q303" s="13">
        <v>20221332.780000001</v>
      </c>
      <c r="R303" t="s">
        <v>757</v>
      </c>
    </row>
    <row r="304" spans="1:18" x14ac:dyDescent="0.3">
      <c r="A304" s="2" t="s">
        <v>293</v>
      </c>
      <c r="B304" s="15">
        <v>46078</v>
      </c>
      <c r="C304" t="s">
        <v>691</v>
      </c>
      <c r="D304" s="3" t="s">
        <v>699</v>
      </c>
      <c r="E304" s="2" t="s">
        <v>223</v>
      </c>
      <c r="F304" s="3">
        <v>45994.679652777777</v>
      </c>
      <c r="G304" s="3" t="s">
        <v>724</v>
      </c>
      <c r="H304" t="s">
        <v>760</v>
      </c>
      <c r="I304" t="s">
        <v>703</v>
      </c>
      <c r="J304" s="2" t="s">
        <v>1</v>
      </c>
      <c r="K304" s="2" t="s">
        <v>6</v>
      </c>
      <c r="L304" s="2" t="s">
        <v>6</v>
      </c>
      <c r="M304" s="2" t="s">
        <v>571</v>
      </c>
      <c r="N304" s="2">
        <v>13</v>
      </c>
      <c r="O304" s="2" t="s">
        <v>0</v>
      </c>
      <c r="P304" s="2">
        <v>43484.03</v>
      </c>
      <c r="Q304" s="13">
        <v>565292.39</v>
      </c>
      <c r="R304" t="s">
        <v>757</v>
      </c>
    </row>
    <row r="305" spans="1:18" x14ac:dyDescent="0.3">
      <c r="A305" s="2" t="s">
        <v>294</v>
      </c>
      <c r="B305" s="15">
        <v>46077</v>
      </c>
      <c r="C305" t="s">
        <v>691</v>
      </c>
      <c r="D305" s="3" t="s">
        <v>699</v>
      </c>
      <c r="E305" s="2" t="s">
        <v>268</v>
      </c>
      <c r="F305" s="3">
        <v>45894.428784722222</v>
      </c>
      <c r="G305" s="3" t="s">
        <v>720</v>
      </c>
      <c r="H305" t="s">
        <v>760</v>
      </c>
      <c r="I305" t="s">
        <v>702</v>
      </c>
      <c r="J305" s="2" t="s">
        <v>2</v>
      </c>
      <c r="K305" s="2" t="s">
        <v>726</v>
      </c>
      <c r="L305" s="2" t="s">
        <v>80</v>
      </c>
      <c r="M305" s="2" t="s">
        <v>485</v>
      </c>
      <c r="N305" s="2">
        <v>13</v>
      </c>
      <c r="O305" s="2" t="s">
        <v>0</v>
      </c>
      <c r="P305" s="2">
        <v>4128302.97</v>
      </c>
      <c r="Q305" s="13">
        <v>53667938.609999999</v>
      </c>
      <c r="R305" t="s">
        <v>757</v>
      </c>
    </row>
    <row r="306" spans="1:18" x14ac:dyDescent="0.3">
      <c r="A306" s="2" t="s">
        <v>295</v>
      </c>
      <c r="B306" s="15">
        <v>46077</v>
      </c>
      <c r="C306" t="s">
        <v>691</v>
      </c>
      <c r="D306" s="3" t="s">
        <v>699</v>
      </c>
      <c r="E306" s="2" t="s">
        <v>69</v>
      </c>
      <c r="F306" s="3">
        <v>46050.437291666669</v>
      </c>
      <c r="G306" s="3" t="s">
        <v>690</v>
      </c>
      <c r="H306" t="s">
        <v>759</v>
      </c>
      <c r="I306" t="s">
        <v>699</v>
      </c>
      <c r="J306" s="2" t="s">
        <v>2</v>
      </c>
      <c r="K306" s="2" t="s">
        <v>726</v>
      </c>
      <c r="L306" s="2" t="s">
        <v>80</v>
      </c>
      <c r="M306" s="2" t="s">
        <v>535</v>
      </c>
      <c r="N306" s="2">
        <v>7</v>
      </c>
      <c r="O306" s="2" t="s">
        <v>0</v>
      </c>
      <c r="P306" s="2">
        <v>1776099.4</v>
      </c>
      <c r="Q306" s="13">
        <v>12432695.799999999</v>
      </c>
      <c r="R306" t="s">
        <v>757</v>
      </c>
    </row>
    <row r="307" spans="1:18" x14ac:dyDescent="0.3">
      <c r="A307" s="2" t="s">
        <v>295</v>
      </c>
      <c r="B307" s="15">
        <v>46077</v>
      </c>
      <c r="C307" t="s">
        <v>691</v>
      </c>
      <c r="D307" s="3" t="s">
        <v>699</v>
      </c>
      <c r="E307" s="2" t="s">
        <v>69</v>
      </c>
      <c r="F307" s="3">
        <v>46050.437291666669</v>
      </c>
      <c r="G307" s="3" t="s">
        <v>690</v>
      </c>
      <c r="H307" t="s">
        <v>759</v>
      </c>
      <c r="I307" t="s">
        <v>699</v>
      </c>
      <c r="J307" s="2" t="s">
        <v>2</v>
      </c>
      <c r="K307" s="2" t="s">
        <v>726</v>
      </c>
      <c r="L307" s="2" t="s">
        <v>80</v>
      </c>
      <c r="M307" s="2" t="s">
        <v>535</v>
      </c>
      <c r="N307" s="2">
        <v>10</v>
      </c>
      <c r="O307" s="2" t="s">
        <v>0</v>
      </c>
      <c r="P307" s="2">
        <v>2181130.84</v>
      </c>
      <c r="Q307" s="13">
        <v>21811308.399999999</v>
      </c>
      <c r="R307" t="s">
        <v>757</v>
      </c>
    </row>
    <row r="308" spans="1:18" x14ac:dyDescent="0.3">
      <c r="A308" s="2" t="s">
        <v>295</v>
      </c>
      <c r="B308" s="15">
        <v>46077</v>
      </c>
      <c r="C308" t="s">
        <v>691</v>
      </c>
      <c r="D308" s="3" t="s">
        <v>699</v>
      </c>
      <c r="E308" s="2" t="s">
        <v>69</v>
      </c>
      <c r="F308" s="3">
        <v>46050.437291666669</v>
      </c>
      <c r="G308" s="3" t="s">
        <v>690</v>
      </c>
      <c r="H308" t="s">
        <v>759</v>
      </c>
      <c r="I308" t="s">
        <v>699</v>
      </c>
      <c r="J308" s="2" t="s">
        <v>2</v>
      </c>
      <c r="K308" s="2" t="s">
        <v>726</v>
      </c>
      <c r="L308" s="2" t="s">
        <v>80</v>
      </c>
      <c r="M308" s="2" t="s">
        <v>535</v>
      </c>
      <c r="N308" s="2">
        <v>4</v>
      </c>
      <c r="O308" s="2" t="s">
        <v>0</v>
      </c>
      <c r="P308" s="2">
        <v>2659804.2000000002</v>
      </c>
      <c r="Q308" s="13">
        <v>10639216.800000001</v>
      </c>
      <c r="R308" t="s">
        <v>757</v>
      </c>
    </row>
    <row r="309" spans="1:18" x14ac:dyDescent="0.3">
      <c r="A309" s="2" t="s">
        <v>295</v>
      </c>
      <c r="B309" s="15">
        <v>46077</v>
      </c>
      <c r="C309" t="s">
        <v>691</v>
      </c>
      <c r="D309" s="3" t="s">
        <v>699</v>
      </c>
      <c r="E309" s="2" t="s">
        <v>69</v>
      </c>
      <c r="F309" s="3">
        <v>46050.437291666669</v>
      </c>
      <c r="G309" s="3" t="s">
        <v>690</v>
      </c>
      <c r="H309" t="s">
        <v>759</v>
      </c>
      <c r="I309" t="s">
        <v>699</v>
      </c>
      <c r="J309" s="2" t="s">
        <v>2</v>
      </c>
      <c r="K309" s="2" t="s">
        <v>726</v>
      </c>
      <c r="L309" s="2" t="s">
        <v>80</v>
      </c>
      <c r="M309" s="2" t="s">
        <v>535</v>
      </c>
      <c r="N309" s="2">
        <v>1</v>
      </c>
      <c r="O309" s="2" t="s">
        <v>0</v>
      </c>
      <c r="P309" s="2">
        <v>3396225.21</v>
      </c>
      <c r="Q309" s="13">
        <v>3396225.21</v>
      </c>
      <c r="R309" t="s">
        <v>757</v>
      </c>
    </row>
    <row r="310" spans="1:18" x14ac:dyDescent="0.3">
      <c r="A310" s="2" t="s">
        <v>296</v>
      </c>
      <c r="B310" s="15">
        <v>46077</v>
      </c>
      <c r="C310" t="s">
        <v>691</v>
      </c>
      <c r="D310" s="3" t="s">
        <v>699</v>
      </c>
      <c r="E310" s="2" t="s">
        <v>297</v>
      </c>
      <c r="F310" s="3">
        <v>45996.635023148148</v>
      </c>
      <c r="G310" s="3" t="s">
        <v>724</v>
      </c>
      <c r="H310" t="s">
        <v>760</v>
      </c>
      <c r="I310" t="s">
        <v>703</v>
      </c>
      <c r="J310" s="2" t="s">
        <v>2</v>
      </c>
      <c r="K310" s="2" t="s">
        <v>726</v>
      </c>
      <c r="L310" s="2" t="s">
        <v>80</v>
      </c>
      <c r="M310" s="2" t="s">
        <v>535</v>
      </c>
      <c r="N310" s="2">
        <v>1</v>
      </c>
      <c r="O310" s="2" t="s">
        <v>0</v>
      </c>
      <c r="P310" s="2">
        <v>454168.91</v>
      </c>
      <c r="Q310" s="13">
        <v>454168.91</v>
      </c>
      <c r="R310" t="s">
        <v>757</v>
      </c>
    </row>
    <row r="311" spans="1:18" x14ac:dyDescent="0.3">
      <c r="A311" s="2" t="s">
        <v>298</v>
      </c>
      <c r="B311" s="15">
        <v>46077</v>
      </c>
      <c r="C311" t="s">
        <v>691</v>
      </c>
      <c r="D311" s="3" t="s">
        <v>699</v>
      </c>
      <c r="E311" s="2" t="s">
        <v>299</v>
      </c>
      <c r="F311" s="3">
        <v>45625.666863425933</v>
      </c>
      <c r="G311" s="3" t="s">
        <v>723</v>
      </c>
      <c r="H311" t="s">
        <v>760</v>
      </c>
      <c r="I311" t="s">
        <v>703</v>
      </c>
      <c r="J311" s="2" t="s">
        <v>2</v>
      </c>
      <c r="K311" s="2" t="s">
        <v>726</v>
      </c>
      <c r="L311" s="2" t="s">
        <v>80</v>
      </c>
      <c r="M311" s="2" t="s">
        <v>535</v>
      </c>
      <c r="N311" s="2">
        <v>2</v>
      </c>
      <c r="O311" s="2" t="s">
        <v>0</v>
      </c>
      <c r="P311" s="2">
        <v>484825.63</v>
      </c>
      <c r="Q311" s="13">
        <v>969651.26</v>
      </c>
      <c r="R311" t="s">
        <v>757</v>
      </c>
    </row>
    <row r="312" spans="1:18" x14ac:dyDescent="0.3">
      <c r="A312" s="2" t="s">
        <v>300</v>
      </c>
      <c r="B312" s="15">
        <v>46077</v>
      </c>
      <c r="C312" t="s">
        <v>691</v>
      </c>
      <c r="D312" s="3" t="s">
        <v>699</v>
      </c>
      <c r="E312" s="2" t="s">
        <v>301</v>
      </c>
      <c r="F312" s="3">
        <v>45986.625902777778</v>
      </c>
      <c r="G312" s="3" t="s">
        <v>723</v>
      </c>
      <c r="H312" t="s">
        <v>760</v>
      </c>
      <c r="I312" t="s">
        <v>703</v>
      </c>
      <c r="J312" s="2" t="s">
        <v>2</v>
      </c>
      <c r="K312" s="2" t="s">
        <v>726</v>
      </c>
      <c r="L312" s="2" t="s">
        <v>80</v>
      </c>
      <c r="M312" s="2" t="s">
        <v>535</v>
      </c>
      <c r="N312" s="2">
        <v>1</v>
      </c>
      <c r="O312" s="2" t="s">
        <v>0</v>
      </c>
      <c r="P312" s="2">
        <v>609083.18999999994</v>
      </c>
      <c r="Q312" s="13">
        <v>609083.18999999994</v>
      </c>
      <c r="R312" t="s">
        <v>757</v>
      </c>
    </row>
    <row r="313" spans="1:18" x14ac:dyDescent="0.3">
      <c r="A313" s="2" t="s">
        <v>302</v>
      </c>
      <c r="B313" s="15">
        <v>46077</v>
      </c>
      <c r="C313" t="s">
        <v>691</v>
      </c>
      <c r="D313" s="3" t="s">
        <v>699</v>
      </c>
      <c r="E313" s="2" t="s">
        <v>303</v>
      </c>
      <c r="F313" s="3">
        <v>45986.627291666657</v>
      </c>
      <c r="G313" s="3" t="s">
        <v>723</v>
      </c>
      <c r="H313" t="s">
        <v>760</v>
      </c>
      <c r="I313" t="s">
        <v>703</v>
      </c>
      <c r="J313" s="2" t="s">
        <v>2</v>
      </c>
      <c r="K313" s="2" t="s">
        <v>726</v>
      </c>
      <c r="L313" s="2" t="s">
        <v>80</v>
      </c>
      <c r="M313" s="2" t="s">
        <v>535</v>
      </c>
      <c r="N313" s="2">
        <v>1</v>
      </c>
      <c r="O313" s="2" t="s">
        <v>0</v>
      </c>
      <c r="P313" s="2">
        <v>609083.18999999994</v>
      </c>
      <c r="Q313" s="13">
        <v>609083.18999999994</v>
      </c>
      <c r="R313" t="s">
        <v>757</v>
      </c>
    </row>
    <row r="314" spans="1:18" x14ac:dyDescent="0.3">
      <c r="A314" s="2" t="s">
        <v>304</v>
      </c>
      <c r="B314" s="15">
        <v>46077</v>
      </c>
      <c r="C314" t="s">
        <v>691</v>
      </c>
      <c r="D314" s="3" t="s">
        <v>699</v>
      </c>
      <c r="E314" s="2" t="s">
        <v>261</v>
      </c>
      <c r="F314" s="3">
        <v>45986.674178240741</v>
      </c>
      <c r="G314" s="3" t="s">
        <v>723</v>
      </c>
      <c r="H314" t="s">
        <v>760</v>
      </c>
      <c r="I314" t="s">
        <v>703</v>
      </c>
      <c r="J314" s="2" t="s">
        <v>2</v>
      </c>
      <c r="K314" s="2" t="s">
        <v>726</v>
      </c>
      <c r="L314" s="2" t="s">
        <v>80</v>
      </c>
      <c r="M314" s="2" t="s">
        <v>535</v>
      </c>
      <c r="N314" s="2">
        <v>16</v>
      </c>
      <c r="O314" s="2" t="s">
        <v>0</v>
      </c>
      <c r="P314" s="2">
        <v>451999.69</v>
      </c>
      <c r="Q314" s="13">
        <v>7231995.04</v>
      </c>
      <c r="R314" t="s">
        <v>757</v>
      </c>
    </row>
    <row r="315" spans="1:18" x14ac:dyDescent="0.3">
      <c r="A315" s="2" t="s">
        <v>305</v>
      </c>
      <c r="B315" s="15">
        <v>46077</v>
      </c>
      <c r="C315" t="s">
        <v>691</v>
      </c>
      <c r="D315" s="3" t="s">
        <v>699</v>
      </c>
      <c r="E315" s="2" t="s">
        <v>263</v>
      </c>
      <c r="F315" s="3">
        <v>45980.755532407413</v>
      </c>
      <c r="G315" s="3" t="s">
        <v>723</v>
      </c>
      <c r="H315" t="s">
        <v>760</v>
      </c>
      <c r="I315" t="s">
        <v>703</v>
      </c>
      <c r="J315" s="2" t="s">
        <v>2</v>
      </c>
      <c r="K315" s="2" t="s">
        <v>726</v>
      </c>
      <c r="L315" s="2" t="s">
        <v>80</v>
      </c>
      <c r="M315" s="2" t="s">
        <v>535</v>
      </c>
      <c r="N315" s="2">
        <v>2</v>
      </c>
      <c r="O315" s="2" t="s">
        <v>0</v>
      </c>
      <c r="P315" s="2">
        <v>484063.03</v>
      </c>
      <c r="Q315" s="13">
        <v>968126.06</v>
      </c>
      <c r="R315" t="s">
        <v>757</v>
      </c>
    </row>
    <row r="316" spans="1:18" x14ac:dyDescent="0.3">
      <c r="A316" s="2" t="s">
        <v>306</v>
      </c>
      <c r="B316" s="15">
        <v>46077</v>
      </c>
      <c r="C316" t="s">
        <v>691</v>
      </c>
      <c r="D316" s="3" t="s">
        <v>699</v>
      </c>
      <c r="E316" s="2" t="s">
        <v>245</v>
      </c>
      <c r="F316" s="3">
        <v>45982.66778935185</v>
      </c>
      <c r="G316" s="3" t="s">
        <v>723</v>
      </c>
      <c r="H316" t="s">
        <v>760</v>
      </c>
      <c r="I316" t="s">
        <v>703</v>
      </c>
      <c r="J316" s="2" t="s">
        <v>2</v>
      </c>
      <c r="K316" s="2" t="s">
        <v>726</v>
      </c>
      <c r="L316" s="2" t="s">
        <v>80</v>
      </c>
      <c r="M316" s="2" t="s">
        <v>535</v>
      </c>
      <c r="N316" s="2">
        <v>9</v>
      </c>
      <c r="O316" s="2" t="s">
        <v>0</v>
      </c>
      <c r="P316" s="2">
        <v>451688.24</v>
      </c>
      <c r="Q316" s="13">
        <v>4065194.16</v>
      </c>
      <c r="R316" t="s">
        <v>757</v>
      </c>
    </row>
    <row r="317" spans="1:18" x14ac:dyDescent="0.3">
      <c r="A317" s="2" t="s">
        <v>307</v>
      </c>
      <c r="B317" s="15">
        <v>46077</v>
      </c>
      <c r="C317" t="s">
        <v>691</v>
      </c>
      <c r="D317" s="3" t="s">
        <v>699</v>
      </c>
      <c r="E317" s="2" t="s">
        <v>268</v>
      </c>
      <c r="F317" s="3">
        <v>45894.428784722222</v>
      </c>
      <c r="G317" s="3" t="s">
        <v>720</v>
      </c>
      <c r="H317" t="s">
        <v>760</v>
      </c>
      <c r="I317" t="s">
        <v>702</v>
      </c>
      <c r="J317" s="2" t="s">
        <v>2</v>
      </c>
      <c r="K317" s="2" t="s">
        <v>726</v>
      </c>
      <c r="L317" s="2" t="s">
        <v>80</v>
      </c>
      <c r="M317" s="2" t="s">
        <v>535</v>
      </c>
      <c r="N317" s="2">
        <v>15</v>
      </c>
      <c r="O317" s="2" t="s">
        <v>0</v>
      </c>
      <c r="P317" s="2">
        <v>480912.5</v>
      </c>
      <c r="Q317" s="13">
        <v>7213687.5</v>
      </c>
      <c r="R317" t="s">
        <v>757</v>
      </c>
    </row>
    <row r="318" spans="1:18" x14ac:dyDescent="0.3">
      <c r="A318" s="2" t="s">
        <v>307</v>
      </c>
      <c r="B318" s="15">
        <v>46077</v>
      </c>
      <c r="C318" t="s">
        <v>691</v>
      </c>
      <c r="D318" s="3" t="s">
        <v>699</v>
      </c>
      <c r="E318" s="2" t="s">
        <v>268</v>
      </c>
      <c r="F318" s="3">
        <v>45894.428784722222</v>
      </c>
      <c r="G318" s="3" t="s">
        <v>720</v>
      </c>
      <c r="H318" t="s">
        <v>760</v>
      </c>
      <c r="I318" t="s">
        <v>702</v>
      </c>
      <c r="J318" s="2" t="s">
        <v>2</v>
      </c>
      <c r="K318" s="2" t="s">
        <v>726</v>
      </c>
      <c r="L318" s="2" t="s">
        <v>80</v>
      </c>
      <c r="M318" s="2" t="s">
        <v>535</v>
      </c>
      <c r="N318" s="2">
        <v>7</v>
      </c>
      <c r="O318" s="2" t="s">
        <v>0</v>
      </c>
      <c r="P318" s="2">
        <v>480912.5</v>
      </c>
      <c r="Q318" s="13">
        <v>3366387.5</v>
      </c>
      <c r="R318" t="s">
        <v>757</v>
      </c>
    </row>
    <row r="319" spans="1:18" x14ac:dyDescent="0.3">
      <c r="A319" s="2" t="s">
        <v>307</v>
      </c>
      <c r="B319" s="15">
        <v>46077</v>
      </c>
      <c r="C319" t="s">
        <v>691</v>
      </c>
      <c r="D319" s="3" t="s">
        <v>699</v>
      </c>
      <c r="E319" s="2" t="s">
        <v>268</v>
      </c>
      <c r="F319" s="3">
        <v>45894.428784722222</v>
      </c>
      <c r="G319" s="3" t="s">
        <v>720</v>
      </c>
      <c r="H319" t="s">
        <v>760</v>
      </c>
      <c r="I319" t="s">
        <v>702</v>
      </c>
      <c r="J319" s="2" t="s">
        <v>2</v>
      </c>
      <c r="K319" s="2" t="s">
        <v>726</v>
      </c>
      <c r="L319" s="2" t="s">
        <v>80</v>
      </c>
      <c r="M319" s="2" t="s">
        <v>535</v>
      </c>
      <c r="N319" s="2">
        <v>10</v>
      </c>
      <c r="O319" s="2" t="s">
        <v>0</v>
      </c>
      <c r="P319" s="2">
        <v>480912.5</v>
      </c>
      <c r="Q319" s="13">
        <v>4809125</v>
      </c>
      <c r="R319" t="s">
        <v>757</v>
      </c>
    </row>
    <row r="320" spans="1:18" x14ac:dyDescent="0.3">
      <c r="A320" s="2" t="s">
        <v>308</v>
      </c>
      <c r="B320" s="15">
        <v>46077</v>
      </c>
      <c r="C320" t="s">
        <v>691</v>
      </c>
      <c r="D320" s="3" t="s">
        <v>699</v>
      </c>
      <c r="E320" s="2" t="s">
        <v>268</v>
      </c>
      <c r="F320" s="3">
        <v>45894.428784722222</v>
      </c>
      <c r="G320" s="3" t="s">
        <v>720</v>
      </c>
      <c r="H320" t="s">
        <v>760</v>
      </c>
      <c r="I320" t="s">
        <v>702</v>
      </c>
      <c r="J320" s="2" t="s">
        <v>2</v>
      </c>
      <c r="K320" s="2" t="s">
        <v>726</v>
      </c>
      <c r="L320" s="2" t="s">
        <v>80</v>
      </c>
      <c r="M320" s="2" t="s">
        <v>535</v>
      </c>
      <c r="N320" s="2">
        <v>7</v>
      </c>
      <c r="O320" s="2" t="s">
        <v>0</v>
      </c>
      <c r="P320" s="2">
        <v>480912.5</v>
      </c>
      <c r="Q320" s="13">
        <v>3366387.5</v>
      </c>
      <c r="R320" t="s">
        <v>757</v>
      </c>
    </row>
    <row r="321" spans="1:18" x14ac:dyDescent="0.3">
      <c r="A321" s="2" t="s">
        <v>308</v>
      </c>
      <c r="B321" s="15">
        <v>46077</v>
      </c>
      <c r="C321" t="s">
        <v>691</v>
      </c>
      <c r="D321" s="3" t="s">
        <v>699</v>
      </c>
      <c r="E321" s="2" t="s">
        <v>268</v>
      </c>
      <c r="F321" s="3">
        <v>45894.428784722222</v>
      </c>
      <c r="G321" s="3" t="s">
        <v>720</v>
      </c>
      <c r="H321" t="s">
        <v>760</v>
      </c>
      <c r="I321" t="s">
        <v>702</v>
      </c>
      <c r="J321" s="2" t="s">
        <v>2</v>
      </c>
      <c r="K321" s="2" t="s">
        <v>726</v>
      </c>
      <c r="L321" s="2" t="s">
        <v>80</v>
      </c>
      <c r="M321" s="2" t="s">
        <v>535</v>
      </c>
      <c r="N321" s="2">
        <v>25</v>
      </c>
      <c r="O321" s="2" t="s">
        <v>0</v>
      </c>
      <c r="P321" s="2">
        <v>480912.5</v>
      </c>
      <c r="Q321" s="13">
        <v>12022812.5</v>
      </c>
      <c r="R321" t="s">
        <v>757</v>
      </c>
    </row>
    <row r="322" spans="1:18" x14ac:dyDescent="0.3">
      <c r="A322" s="2" t="s">
        <v>309</v>
      </c>
      <c r="B322" s="15">
        <v>46073</v>
      </c>
      <c r="C322" t="s">
        <v>691</v>
      </c>
      <c r="D322" s="3" t="s">
        <v>699</v>
      </c>
      <c r="E322" s="2" t="s">
        <v>56</v>
      </c>
      <c r="F322" s="3">
        <v>46070.610231481478</v>
      </c>
      <c r="G322" s="3" t="s">
        <v>691</v>
      </c>
      <c r="H322" t="s">
        <v>759</v>
      </c>
      <c r="I322" t="s">
        <v>699</v>
      </c>
      <c r="J322" s="2" t="s">
        <v>8</v>
      </c>
      <c r="K322" s="2" t="s">
        <v>726</v>
      </c>
      <c r="L322" s="2" t="s">
        <v>87</v>
      </c>
      <c r="M322" s="2" t="s">
        <v>537</v>
      </c>
      <c r="N322" s="2">
        <v>3</v>
      </c>
      <c r="O322" s="2" t="s">
        <v>0</v>
      </c>
      <c r="P322" s="2">
        <v>3004897.2</v>
      </c>
      <c r="Q322" s="13">
        <v>9014691.6000000015</v>
      </c>
      <c r="R322" t="s">
        <v>757</v>
      </c>
    </row>
    <row r="323" spans="1:18" x14ac:dyDescent="0.3">
      <c r="A323" s="2" t="s">
        <v>310</v>
      </c>
      <c r="B323" s="15">
        <v>46073</v>
      </c>
      <c r="C323" t="s">
        <v>691</v>
      </c>
      <c r="D323" s="3" t="s">
        <v>699</v>
      </c>
      <c r="E323" s="2" t="s">
        <v>54</v>
      </c>
      <c r="F323" s="3">
        <v>46071.418877314813</v>
      </c>
      <c r="G323" s="3" t="s">
        <v>691</v>
      </c>
      <c r="H323" t="s">
        <v>759</v>
      </c>
      <c r="I323" t="s">
        <v>699</v>
      </c>
      <c r="J323" s="2" t="s">
        <v>8</v>
      </c>
      <c r="K323" s="2" t="s">
        <v>726</v>
      </c>
      <c r="L323" s="2" t="s">
        <v>79</v>
      </c>
      <c r="M323" s="2" t="s">
        <v>430</v>
      </c>
      <c r="N323" s="2">
        <v>6</v>
      </c>
      <c r="O323" s="2" t="s">
        <v>0</v>
      </c>
      <c r="P323" s="2">
        <v>61756.72</v>
      </c>
      <c r="Q323" s="13">
        <v>370540.32</v>
      </c>
      <c r="R323" t="s">
        <v>757</v>
      </c>
    </row>
    <row r="324" spans="1:18" x14ac:dyDescent="0.3">
      <c r="A324" s="2" t="s">
        <v>310</v>
      </c>
      <c r="B324" s="15">
        <v>46073</v>
      </c>
      <c r="C324" t="s">
        <v>691</v>
      </c>
      <c r="D324" s="3" t="s">
        <v>699</v>
      </c>
      <c r="E324" s="2" t="s">
        <v>54</v>
      </c>
      <c r="F324" s="3">
        <v>46071.418877314813</v>
      </c>
      <c r="G324" s="3" t="s">
        <v>691</v>
      </c>
      <c r="H324" t="s">
        <v>759</v>
      </c>
      <c r="I324" t="s">
        <v>699</v>
      </c>
      <c r="J324" s="2" t="s">
        <v>8</v>
      </c>
      <c r="K324" s="2" t="s">
        <v>726</v>
      </c>
      <c r="L324" s="2" t="s">
        <v>90</v>
      </c>
      <c r="M324" s="2" t="s">
        <v>431</v>
      </c>
      <c r="N324" s="2">
        <v>2</v>
      </c>
      <c r="O324" s="2" t="s">
        <v>0</v>
      </c>
      <c r="P324" s="2">
        <v>292189.08</v>
      </c>
      <c r="Q324" s="13">
        <v>584378.16</v>
      </c>
      <c r="R324" t="s">
        <v>757</v>
      </c>
    </row>
    <row r="325" spans="1:18" x14ac:dyDescent="0.3">
      <c r="A325" s="2" t="s">
        <v>310</v>
      </c>
      <c r="B325" s="15">
        <v>46073</v>
      </c>
      <c r="C325" t="s">
        <v>691</v>
      </c>
      <c r="D325" s="3" t="s">
        <v>699</v>
      </c>
      <c r="E325" s="2" t="s">
        <v>54</v>
      </c>
      <c r="F325" s="3">
        <v>46071.418877314813</v>
      </c>
      <c r="G325" s="3" t="s">
        <v>691</v>
      </c>
      <c r="H325" t="s">
        <v>759</v>
      </c>
      <c r="I325" t="s">
        <v>699</v>
      </c>
      <c r="J325" s="2" t="s">
        <v>8</v>
      </c>
      <c r="K325" s="2" t="s">
        <v>726</v>
      </c>
      <c r="L325" s="2" t="s">
        <v>84</v>
      </c>
      <c r="M325" s="2" t="s">
        <v>572</v>
      </c>
      <c r="N325" s="2">
        <v>10</v>
      </c>
      <c r="O325" s="2" t="s">
        <v>0</v>
      </c>
      <c r="P325" s="2">
        <v>24392.19</v>
      </c>
      <c r="Q325" s="13">
        <v>243921.9</v>
      </c>
      <c r="R325" t="s">
        <v>757</v>
      </c>
    </row>
    <row r="326" spans="1:18" x14ac:dyDescent="0.3">
      <c r="A326" s="2" t="s">
        <v>311</v>
      </c>
      <c r="B326" s="15">
        <v>46073</v>
      </c>
      <c r="C326" t="s">
        <v>691</v>
      </c>
      <c r="D326" s="3" t="s">
        <v>699</v>
      </c>
      <c r="E326" s="2" t="s">
        <v>55</v>
      </c>
      <c r="F326" s="3">
        <v>46071.416851851849</v>
      </c>
      <c r="G326" s="3" t="s">
        <v>691</v>
      </c>
      <c r="H326" t="s">
        <v>759</v>
      </c>
      <c r="I326" t="s">
        <v>699</v>
      </c>
      <c r="J326" s="2" t="s">
        <v>8</v>
      </c>
      <c r="K326" s="2" t="s">
        <v>726</v>
      </c>
      <c r="L326" s="2" t="s">
        <v>90</v>
      </c>
      <c r="M326" s="2" t="s">
        <v>533</v>
      </c>
      <c r="N326" s="2">
        <v>7</v>
      </c>
      <c r="O326" s="2" t="s">
        <v>0</v>
      </c>
      <c r="P326" s="2">
        <v>119447.9</v>
      </c>
      <c r="Q326" s="13">
        <v>836135.29999999993</v>
      </c>
      <c r="R326" t="s">
        <v>757</v>
      </c>
    </row>
    <row r="327" spans="1:18" x14ac:dyDescent="0.3">
      <c r="A327" s="2" t="s">
        <v>312</v>
      </c>
      <c r="B327" s="15">
        <v>46073</v>
      </c>
      <c r="C327" t="s">
        <v>691</v>
      </c>
      <c r="D327" s="3" t="s">
        <v>699</v>
      </c>
      <c r="E327" s="2" t="s">
        <v>56</v>
      </c>
      <c r="F327" s="3">
        <v>46070.610231481478</v>
      </c>
      <c r="G327" s="3" t="s">
        <v>691</v>
      </c>
      <c r="H327" t="s">
        <v>759</v>
      </c>
      <c r="I327" t="s">
        <v>699</v>
      </c>
      <c r="J327" s="2" t="s">
        <v>8</v>
      </c>
      <c r="K327" s="2" t="s">
        <v>726</v>
      </c>
      <c r="L327" s="2" t="s">
        <v>87</v>
      </c>
      <c r="M327" s="2" t="s">
        <v>573</v>
      </c>
      <c r="N327" s="2">
        <v>63</v>
      </c>
      <c r="O327" s="2" t="s">
        <v>0</v>
      </c>
      <c r="P327" s="2">
        <v>118075.96</v>
      </c>
      <c r="Q327" s="13">
        <v>7438785.4800000004</v>
      </c>
      <c r="R327" t="s">
        <v>757</v>
      </c>
    </row>
    <row r="328" spans="1:18" x14ac:dyDescent="0.3">
      <c r="A328" s="2" t="s">
        <v>313</v>
      </c>
      <c r="B328" s="15">
        <v>46073</v>
      </c>
      <c r="C328" t="s">
        <v>691</v>
      </c>
      <c r="D328" s="3" t="s">
        <v>699</v>
      </c>
      <c r="E328" s="2" t="s">
        <v>69</v>
      </c>
      <c r="F328" s="3">
        <v>46050.437291666669</v>
      </c>
      <c r="G328" s="3" t="s">
        <v>690</v>
      </c>
      <c r="H328" t="s">
        <v>759</v>
      </c>
      <c r="I328" t="s">
        <v>699</v>
      </c>
      <c r="J328" s="2" t="s">
        <v>2</v>
      </c>
      <c r="K328" s="2" t="s">
        <v>726</v>
      </c>
      <c r="L328" s="2" t="s">
        <v>80</v>
      </c>
      <c r="M328" s="2" t="s">
        <v>447</v>
      </c>
      <c r="N328" s="2">
        <v>9</v>
      </c>
      <c r="O328" s="2" t="s">
        <v>0</v>
      </c>
      <c r="P328" s="2">
        <v>3254995.14</v>
      </c>
      <c r="Q328" s="13">
        <v>29294956.260000002</v>
      </c>
      <c r="R328" t="s">
        <v>757</v>
      </c>
    </row>
    <row r="329" spans="1:18" x14ac:dyDescent="0.3">
      <c r="A329" s="2" t="s">
        <v>313</v>
      </c>
      <c r="B329" s="15">
        <v>46073</v>
      </c>
      <c r="C329" t="s">
        <v>691</v>
      </c>
      <c r="D329" s="3" t="s">
        <v>699</v>
      </c>
      <c r="E329" s="2" t="s">
        <v>69</v>
      </c>
      <c r="F329" s="3">
        <v>46050.437291666669</v>
      </c>
      <c r="G329" s="3" t="s">
        <v>690</v>
      </c>
      <c r="H329" t="s">
        <v>759</v>
      </c>
      <c r="I329" t="s">
        <v>699</v>
      </c>
      <c r="J329" s="2" t="s">
        <v>2</v>
      </c>
      <c r="K329" s="2" t="s">
        <v>726</v>
      </c>
      <c r="L329" s="2" t="s">
        <v>80</v>
      </c>
      <c r="M329" s="2" t="s">
        <v>561</v>
      </c>
      <c r="N329" s="2">
        <v>3</v>
      </c>
      <c r="O329" s="2" t="s">
        <v>0</v>
      </c>
      <c r="P329" s="2">
        <v>625001.96</v>
      </c>
      <c r="Q329" s="13">
        <v>1875005.88</v>
      </c>
      <c r="R329" t="s">
        <v>757</v>
      </c>
    </row>
    <row r="330" spans="1:18" x14ac:dyDescent="0.3">
      <c r="A330" s="2" t="s">
        <v>313</v>
      </c>
      <c r="B330" s="15">
        <v>46073</v>
      </c>
      <c r="C330" t="s">
        <v>691</v>
      </c>
      <c r="D330" s="3" t="s">
        <v>699</v>
      </c>
      <c r="E330" s="2" t="s">
        <v>69</v>
      </c>
      <c r="F330" s="3">
        <v>46050.437291666669</v>
      </c>
      <c r="G330" s="3" t="s">
        <v>690</v>
      </c>
      <c r="H330" t="s">
        <v>759</v>
      </c>
      <c r="I330" t="s">
        <v>699</v>
      </c>
      <c r="J330" s="2" t="s">
        <v>2</v>
      </c>
      <c r="K330" s="2" t="s">
        <v>726</v>
      </c>
      <c r="L330" s="2" t="s">
        <v>80</v>
      </c>
      <c r="M330" s="2" t="s">
        <v>574</v>
      </c>
      <c r="N330" s="2">
        <v>4</v>
      </c>
      <c r="O330" s="2" t="s">
        <v>0</v>
      </c>
      <c r="P330" s="2">
        <v>4350020.38</v>
      </c>
      <c r="Q330" s="13">
        <v>17400081.52</v>
      </c>
      <c r="R330" t="s">
        <v>757</v>
      </c>
    </row>
    <row r="331" spans="1:18" x14ac:dyDescent="0.3">
      <c r="A331" s="2" t="s">
        <v>314</v>
      </c>
      <c r="B331" s="15">
        <v>46073</v>
      </c>
      <c r="C331" t="s">
        <v>691</v>
      </c>
      <c r="D331" s="3" t="s">
        <v>699</v>
      </c>
      <c r="E331" s="2" t="s">
        <v>68</v>
      </c>
      <c r="F331" s="3">
        <v>46050.450659722221</v>
      </c>
      <c r="G331" s="3" t="s">
        <v>690</v>
      </c>
      <c r="H331" t="s">
        <v>759</v>
      </c>
      <c r="I331" t="s">
        <v>699</v>
      </c>
      <c r="J331" s="2" t="s">
        <v>2</v>
      </c>
      <c r="K331" s="2" t="s">
        <v>726</v>
      </c>
      <c r="L331" s="2" t="s">
        <v>80</v>
      </c>
      <c r="M331" s="2" t="s">
        <v>561</v>
      </c>
      <c r="N331" s="2">
        <v>3</v>
      </c>
      <c r="O331" s="2" t="s">
        <v>0</v>
      </c>
      <c r="P331" s="2">
        <v>1032208.4</v>
      </c>
      <c r="Q331" s="13">
        <v>3096625.2</v>
      </c>
      <c r="R331" t="s">
        <v>757</v>
      </c>
    </row>
    <row r="332" spans="1:18" x14ac:dyDescent="0.3">
      <c r="A332" s="2" t="s">
        <v>315</v>
      </c>
      <c r="B332" s="15">
        <v>46073</v>
      </c>
      <c r="C332" t="s">
        <v>691</v>
      </c>
      <c r="D332" s="3" t="s">
        <v>699</v>
      </c>
      <c r="E332" s="2" t="s">
        <v>245</v>
      </c>
      <c r="F332" s="3">
        <v>45982.66778935185</v>
      </c>
      <c r="G332" s="3" t="s">
        <v>723</v>
      </c>
      <c r="H332" t="s">
        <v>760</v>
      </c>
      <c r="I332" t="s">
        <v>703</v>
      </c>
      <c r="J332" s="2" t="s">
        <v>2</v>
      </c>
      <c r="K332" s="2" t="s">
        <v>726</v>
      </c>
      <c r="L332" s="2" t="s">
        <v>80</v>
      </c>
      <c r="M332" s="2" t="s">
        <v>540</v>
      </c>
      <c r="N332" s="2">
        <v>11</v>
      </c>
      <c r="O332" s="2" t="s">
        <v>0</v>
      </c>
      <c r="P332" s="2">
        <v>438622.92</v>
      </c>
      <c r="Q332" s="13">
        <v>4824852.12</v>
      </c>
      <c r="R332" t="s">
        <v>757</v>
      </c>
    </row>
    <row r="333" spans="1:18" x14ac:dyDescent="0.3">
      <c r="A333" s="2" t="s">
        <v>316</v>
      </c>
      <c r="B333" s="15">
        <v>46072</v>
      </c>
      <c r="C333" t="s">
        <v>691</v>
      </c>
      <c r="D333" s="3" t="s">
        <v>699</v>
      </c>
      <c r="E333" s="2" t="s">
        <v>58</v>
      </c>
      <c r="F333" s="3">
        <v>46063.501331018517</v>
      </c>
      <c r="G333" s="3" t="s">
        <v>691</v>
      </c>
      <c r="H333" t="s">
        <v>759</v>
      </c>
      <c r="I333" t="s">
        <v>699</v>
      </c>
      <c r="J333" s="2" t="s">
        <v>8</v>
      </c>
      <c r="K333" s="2" t="s">
        <v>726</v>
      </c>
      <c r="L333" s="2" t="s">
        <v>90</v>
      </c>
      <c r="M333" s="2" t="s">
        <v>402</v>
      </c>
      <c r="N333" s="2">
        <v>20</v>
      </c>
      <c r="O333" s="2" t="s">
        <v>0</v>
      </c>
      <c r="P333" s="2">
        <v>20631.13</v>
      </c>
      <c r="Q333" s="13">
        <v>412622.60000000003</v>
      </c>
      <c r="R333" t="s">
        <v>757</v>
      </c>
    </row>
    <row r="334" spans="1:18" x14ac:dyDescent="0.3">
      <c r="A334" s="2" t="s">
        <v>317</v>
      </c>
      <c r="B334" s="15">
        <v>46069</v>
      </c>
      <c r="C334" t="s">
        <v>691</v>
      </c>
      <c r="D334" s="3" t="s">
        <v>699</v>
      </c>
      <c r="E334" s="2" t="s">
        <v>57</v>
      </c>
      <c r="F334" s="3">
        <v>46064.74015046296</v>
      </c>
      <c r="G334" s="3" t="s">
        <v>691</v>
      </c>
      <c r="H334" t="s">
        <v>759</v>
      </c>
      <c r="I334" t="s">
        <v>699</v>
      </c>
      <c r="J334" s="2" t="s">
        <v>8</v>
      </c>
      <c r="K334" s="2" t="s">
        <v>726</v>
      </c>
      <c r="L334" s="2" t="s">
        <v>79</v>
      </c>
      <c r="M334" s="2" t="s">
        <v>409</v>
      </c>
      <c r="N334" s="2">
        <v>7</v>
      </c>
      <c r="O334" s="2" t="s">
        <v>0</v>
      </c>
      <c r="P334" s="2">
        <v>238274.55</v>
      </c>
      <c r="Q334" s="13">
        <v>1667921.8499999999</v>
      </c>
      <c r="R334" t="s">
        <v>757</v>
      </c>
    </row>
    <row r="335" spans="1:18" x14ac:dyDescent="0.3">
      <c r="A335" s="2" t="s">
        <v>318</v>
      </c>
      <c r="B335" s="15">
        <v>46066</v>
      </c>
      <c r="C335" t="s">
        <v>691</v>
      </c>
      <c r="D335" s="3" t="s">
        <v>699</v>
      </c>
      <c r="E335" s="2"/>
      <c r="F335" s="2"/>
      <c r="G335" s="3" t="s">
        <v>690</v>
      </c>
      <c r="H335" t="s">
        <v>759</v>
      </c>
      <c r="I335" t="s">
        <v>699</v>
      </c>
      <c r="J335" s="2" t="s">
        <v>2</v>
      </c>
      <c r="K335" s="2" t="s">
        <v>726</v>
      </c>
      <c r="L335" s="2" t="s">
        <v>80</v>
      </c>
      <c r="M335" s="2" t="s">
        <v>575</v>
      </c>
      <c r="N335" s="2">
        <v>15</v>
      </c>
      <c r="O335" s="2" t="s">
        <v>0</v>
      </c>
      <c r="P335" s="2">
        <v>713319.94</v>
      </c>
      <c r="Q335" s="13">
        <v>10699799.1</v>
      </c>
      <c r="R335" t="s">
        <v>757</v>
      </c>
    </row>
    <row r="336" spans="1:18" x14ac:dyDescent="0.3">
      <c r="A336" s="2" t="s">
        <v>319</v>
      </c>
      <c r="B336" s="15">
        <v>46066</v>
      </c>
      <c r="C336" t="s">
        <v>691</v>
      </c>
      <c r="D336" s="3" t="s">
        <v>699</v>
      </c>
      <c r="E336" s="2" t="s">
        <v>59</v>
      </c>
      <c r="F336" s="3">
        <v>46058.33966435185</v>
      </c>
      <c r="G336" s="3" t="s">
        <v>691</v>
      </c>
      <c r="H336" t="s">
        <v>759</v>
      </c>
      <c r="I336" t="s">
        <v>699</v>
      </c>
      <c r="J336" s="2" t="s">
        <v>1</v>
      </c>
      <c r="K336" s="2" t="s">
        <v>745</v>
      </c>
      <c r="L336" s="2" t="s">
        <v>79</v>
      </c>
      <c r="M336" s="2" t="s">
        <v>576</v>
      </c>
      <c r="N336" s="2">
        <v>100</v>
      </c>
      <c r="O336" s="2" t="s">
        <v>0</v>
      </c>
      <c r="P336" s="2">
        <v>21580.78</v>
      </c>
      <c r="Q336" s="13">
        <v>2158078</v>
      </c>
      <c r="R336" t="s">
        <v>757</v>
      </c>
    </row>
    <row r="337" spans="1:18" x14ac:dyDescent="0.3">
      <c r="A337" s="2" t="s">
        <v>319</v>
      </c>
      <c r="B337" s="15">
        <v>46066</v>
      </c>
      <c r="C337" t="s">
        <v>691</v>
      </c>
      <c r="D337" s="3" t="s">
        <v>699</v>
      </c>
      <c r="E337" s="2" t="s">
        <v>59</v>
      </c>
      <c r="F337" s="3">
        <v>46058.33966435185</v>
      </c>
      <c r="G337" s="3" t="s">
        <v>691</v>
      </c>
      <c r="H337" t="s">
        <v>759</v>
      </c>
      <c r="I337" t="s">
        <v>699</v>
      </c>
      <c r="J337" s="2" t="s">
        <v>1</v>
      </c>
      <c r="K337" s="2" t="s">
        <v>745</v>
      </c>
      <c r="L337" s="2" t="s">
        <v>79</v>
      </c>
      <c r="M337" s="2" t="s">
        <v>577</v>
      </c>
      <c r="N337" s="2">
        <v>10</v>
      </c>
      <c r="O337" s="2" t="s">
        <v>0</v>
      </c>
      <c r="P337" s="2">
        <v>12038.32</v>
      </c>
      <c r="Q337" s="13">
        <v>120383.2</v>
      </c>
      <c r="R337" t="s">
        <v>757</v>
      </c>
    </row>
    <row r="338" spans="1:18" x14ac:dyDescent="0.3">
      <c r="A338" s="2" t="s">
        <v>319</v>
      </c>
      <c r="B338" s="15">
        <v>46066</v>
      </c>
      <c r="C338" t="s">
        <v>691</v>
      </c>
      <c r="D338" s="3" t="s">
        <v>699</v>
      </c>
      <c r="E338" s="2" t="s">
        <v>59</v>
      </c>
      <c r="F338" s="3">
        <v>46058.33966435185</v>
      </c>
      <c r="G338" s="3" t="s">
        <v>691</v>
      </c>
      <c r="H338" t="s">
        <v>759</v>
      </c>
      <c r="I338" t="s">
        <v>699</v>
      </c>
      <c r="J338" s="2" t="s">
        <v>1</v>
      </c>
      <c r="K338" s="2" t="s">
        <v>745</v>
      </c>
      <c r="L338" s="2" t="s">
        <v>89</v>
      </c>
      <c r="M338" s="2" t="s">
        <v>578</v>
      </c>
      <c r="N338" s="2">
        <v>10</v>
      </c>
      <c r="O338" s="2" t="s">
        <v>0</v>
      </c>
      <c r="P338" s="2">
        <v>20406.32</v>
      </c>
      <c r="Q338" s="13">
        <v>204063.2</v>
      </c>
      <c r="R338" t="s">
        <v>757</v>
      </c>
    </row>
    <row r="339" spans="1:18" x14ac:dyDescent="0.3">
      <c r="A339" s="2" t="s">
        <v>320</v>
      </c>
      <c r="B339" s="15">
        <v>46066</v>
      </c>
      <c r="C339" t="s">
        <v>691</v>
      </c>
      <c r="D339" s="3" t="s">
        <v>699</v>
      </c>
      <c r="E339" s="2" t="s">
        <v>65</v>
      </c>
      <c r="F339" s="3">
        <v>46051.359189814822</v>
      </c>
      <c r="G339" s="3" t="s">
        <v>690</v>
      </c>
      <c r="H339" t="s">
        <v>759</v>
      </c>
      <c r="I339" t="s">
        <v>699</v>
      </c>
      <c r="J339" s="2" t="s">
        <v>2</v>
      </c>
      <c r="K339" s="2" t="s">
        <v>726</v>
      </c>
      <c r="L339" s="2" t="s">
        <v>80</v>
      </c>
      <c r="M339" s="2" t="s">
        <v>579</v>
      </c>
      <c r="N339" s="2">
        <v>1</v>
      </c>
      <c r="O339" s="2" t="s">
        <v>0</v>
      </c>
      <c r="P339" s="2">
        <v>14281273.109999999</v>
      </c>
      <c r="Q339" s="13">
        <v>14281273.109999999</v>
      </c>
      <c r="R339" t="s">
        <v>757</v>
      </c>
    </row>
    <row r="340" spans="1:18" x14ac:dyDescent="0.3">
      <c r="A340" s="2" t="s">
        <v>321</v>
      </c>
      <c r="B340" s="15">
        <v>46066</v>
      </c>
      <c r="C340" t="s">
        <v>691</v>
      </c>
      <c r="D340" s="3" t="s">
        <v>699</v>
      </c>
      <c r="E340" s="2" t="s">
        <v>65</v>
      </c>
      <c r="F340" s="3">
        <v>46051.359189814822</v>
      </c>
      <c r="G340" s="3" t="s">
        <v>690</v>
      </c>
      <c r="H340" t="s">
        <v>759</v>
      </c>
      <c r="I340" t="s">
        <v>699</v>
      </c>
      <c r="J340" s="2" t="s">
        <v>2</v>
      </c>
      <c r="K340" s="2" t="s">
        <v>726</v>
      </c>
      <c r="L340" s="2" t="s">
        <v>80</v>
      </c>
      <c r="M340" s="2" t="s">
        <v>580</v>
      </c>
      <c r="N340" s="2">
        <v>60</v>
      </c>
      <c r="O340" s="2" t="s">
        <v>0</v>
      </c>
      <c r="P340" s="2">
        <v>1121233.1399999999</v>
      </c>
      <c r="Q340" s="13">
        <v>67273988.399999991</v>
      </c>
      <c r="R340" t="s">
        <v>757</v>
      </c>
    </row>
    <row r="341" spans="1:18" x14ac:dyDescent="0.3">
      <c r="A341" s="2" t="s">
        <v>322</v>
      </c>
      <c r="B341" s="15">
        <v>46066</v>
      </c>
      <c r="C341" t="s">
        <v>691</v>
      </c>
      <c r="D341" s="3" t="s">
        <v>699</v>
      </c>
      <c r="E341" s="2" t="s">
        <v>60</v>
      </c>
      <c r="F341" s="3">
        <v>46056.735694444447</v>
      </c>
      <c r="G341" s="3" t="s">
        <v>691</v>
      </c>
      <c r="H341" t="s">
        <v>759</v>
      </c>
      <c r="I341" t="s">
        <v>699</v>
      </c>
      <c r="J341" s="2" t="s">
        <v>1</v>
      </c>
      <c r="K341" s="2" t="s">
        <v>745</v>
      </c>
      <c r="L341" s="2" t="s">
        <v>79</v>
      </c>
      <c r="M341" s="2" t="s">
        <v>576</v>
      </c>
      <c r="N341" s="2">
        <v>10</v>
      </c>
      <c r="O341" s="2" t="s">
        <v>0</v>
      </c>
      <c r="P341" s="2">
        <v>20085.13</v>
      </c>
      <c r="Q341" s="13">
        <v>200851.30000000002</v>
      </c>
      <c r="R341" t="s">
        <v>757</v>
      </c>
    </row>
    <row r="342" spans="1:18" x14ac:dyDescent="0.3">
      <c r="A342" s="2" t="s">
        <v>323</v>
      </c>
      <c r="B342" s="15">
        <v>46066</v>
      </c>
      <c r="C342" t="s">
        <v>691</v>
      </c>
      <c r="D342" s="3" t="s">
        <v>699</v>
      </c>
      <c r="E342" s="2" t="s">
        <v>61</v>
      </c>
      <c r="F342" s="3">
        <v>46056.383750000001</v>
      </c>
      <c r="G342" s="3" t="s">
        <v>691</v>
      </c>
      <c r="H342" t="s">
        <v>759</v>
      </c>
      <c r="I342" t="s">
        <v>699</v>
      </c>
      <c r="J342" s="2" t="s">
        <v>1</v>
      </c>
      <c r="K342" s="2" t="s">
        <v>1</v>
      </c>
      <c r="L342" s="2" t="s">
        <v>81</v>
      </c>
      <c r="M342" s="2" t="s">
        <v>478</v>
      </c>
      <c r="N342" s="2">
        <v>1</v>
      </c>
      <c r="O342" s="2" t="s">
        <v>0</v>
      </c>
      <c r="P342" s="2">
        <v>1257222.69</v>
      </c>
      <c r="Q342" s="13">
        <v>1257222.69</v>
      </c>
      <c r="R342" t="s">
        <v>757</v>
      </c>
    </row>
    <row r="343" spans="1:18" x14ac:dyDescent="0.3">
      <c r="A343" s="2" t="s">
        <v>323</v>
      </c>
      <c r="B343" s="15">
        <v>46066</v>
      </c>
      <c r="C343" t="s">
        <v>691</v>
      </c>
      <c r="D343" s="3" t="s">
        <v>699</v>
      </c>
      <c r="E343" s="2" t="s">
        <v>61</v>
      </c>
      <c r="F343" s="3">
        <v>46056.383750000001</v>
      </c>
      <c r="G343" s="3" t="s">
        <v>691</v>
      </c>
      <c r="H343" t="s">
        <v>759</v>
      </c>
      <c r="I343" t="s">
        <v>699</v>
      </c>
      <c r="J343" s="2" t="s">
        <v>8</v>
      </c>
      <c r="K343" s="2" t="s">
        <v>726</v>
      </c>
      <c r="L343" s="2" t="s">
        <v>79</v>
      </c>
      <c r="M343" s="2" t="s">
        <v>581</v>
      </c>
      <c r="N343" s="2">
        <v>1</v>
      </c>
      <c r="O343" s="2" t="s">
        <v>0</v>
      </c>
      <c r="P343" s="2">
        <v>116823.53</v>
      </c>
      <c r="Q343" s="13">
        <v>116823.53</v>
      </c>
      <c r="R343" t="s">
        <v>757</v>
      </c>
    </row>
    <row r="344" spans="1:18" x14ac:dyDescent="0.3">
      <c r="A344" s="2" t="s">
        <v>324</v>
      </c>
      <c r="B344" s="15">
        <v>46066</v>
      </c>
      <c r="C344" t="s">
        <v>691</v>
      </c>
      <c r="D344" s="3" t="s">
        <v>699</v>
      </c>
      <c r="E344" s="2" t="s">
        <v>64</v>
      </c>
      <c r="F344" s="3">
        <v>46069.444004629629</v>
      </c>
      <c r="G344" s="3" t="s">
        <v>691</v>
      </c>
      <c r="H344" t="s">
        <v>759</v>
      </c>
      <c r="I344" t="s">
        <v>699</v>
      </c>
      <c r="J344" s="2" t="s">
        <v>1</v>
      </c>
      <c r="K344" s="2" t="s">
        <v>1</v>
      </c>
      <c r="L344" s="2" t="s">
        <v>86</v>
      </c>
      <c r="M344" s="2" t="s">
        <v>582</v>
      </c>
      <c r="N344" s="2">
        <v>2</v>
      </c>
      <c r="O344" s="2" t="s">
        <v>0</v>
      </c>
      <c r="P344" s="2">
        <v>63124</v>
      </c>
      <c r="Q344" s="13">
        <v>126248</v>
      </c>
      <c r="R344" t="s">
        <v>757</v>
      </c>
    </row>
    <row r="345" spans="1:18" x14ac:dyDescent="0.3">
      <c r="A345" s="2" t="s">
        <v>324</v>
      </c>
      <c r="B345" s="15">
        <v>46066</v>
      </c>
      <c r="C345" t="s">
        <v>691</v>
      </c>
      <c r="D345" s="3" t="s">
        <v>699</v>
      </c>
      <c r="E345" s="2" t="s">
        <v>64</v>
      </c>
      <c r="F345" s="3">
        <v>46069.444004629629</v>
      </c>
      <c r="G345" s="3" t="s">
        <v>691</v>
      </c>
      <c r="H345" t="s">
        <v>759</v>
      </c>
      <c r="I345" t="s">
        <v>699</v>
      </c>
      <c r="J345" s="2" t="s">
        <v>1</v>
      </c>
      <c r="K345" s="2" t="s">
        <v>1</v>
      </c>
      <c r="L345" s="2" t="s">
        <v>86</v>
      </c>
      <c r="M345" s="2" t="s">
        <v>583</v>
      </c>
      <c r="N345" s="2">
        <v>3</v>
      </c>
      <c r="O345" s="2" t="s">
        <v>0</v>
      </c>
      <c r="P345" s="2">
        <v>98943.1</v>
      </c>
      <c r="Q345" s="13">
        <v>296829.30000000005</v>
      </c>
      <c r="R345" t="s">
        <v>757</v>
      </c>
    </row>
    <row r="346" spans="1:18" x14ac:dyDescent="0.3">
      <c r="A346" s="2" t="s">
        <v>325</v>
      </c>
      <c r="B346" s="15">
        <v>46066</v>
      </c>
      <c r="C346" t="s">
        <v>691</v>
      </c>
      <c r="D346" s="3" t="s">
        <v>699</v>
      </c>
      <c r="E346" s="2" t="s">
        <v>69</v>
      </c>
      <c r="F346" s="3">
        <v>46050.437291666669</v>
      </c>
      <c r="G346" s="3" t="s">
        <v>690</v>
      </c>
      <c r="H346" t="s">
        <v>759</v>
      </c>
      <c r="I346" t="s">
        <v>699</v>
      </c>
      <c r="J346" s="2" t="s">
        <v>2</v>
      </c>
      <c r="K346" s="2" t="s">
        <v>726</v>
      </c>
      <c r="L346" s="2" t="s">
        <v>80</v>
      </c>
      <c r="M346" s="2" t="s">
        <v>425</v>
      </c>
      <c r="N346" s="2">
        <v>1</v>
      </c>
      <c r="O346" s="2" t="s">
        <v>0</v>
      </c>
      <c r="P346" s="2">
        <v>26863473.949999999</v>
      </c>
      <c r="Q346" s="13">
        <v>26863473.949999999</v>
      </c>
      <c r="R346" t="s">
        <v>757</v>
      </c>
    </row>
    <row r="347" spans="1:18" x14ac:dyDescent="0.3">
      <c r="A347" s="2" t="s">
        <v>325</v>
      </c>
      <c r="B347" s="15">
        <v>46066</v>
      </c>
      <c r="C347" t="s">
        <v>691</v>
      </c>
      <c r="D347" s="3" t="s">
        <v>699</v>
      </c>
      <c r="E347" s="2" t="s">
        <v>69</v>
      </c>
      <c r="F347" s="3">
        <v>46050.437291666669</v>
      </c>
      <c r="G347" s="3" t="s">
        <v>690</v>
      </c>
      <c r="H347" t="s">
        <v>759</v>
      </c>
      <c r="I347" t="s">
        <v>699</v>
      </c>
      <c r="J347" s="2" t="s">
        <v>2</v>
      </c>
      <c r="K347" s="2" t="s">
        <v>726</v>
      </c>
      <c r="L347" s="2" t="s">
        <v>80</v>
      </c>
      <c r="M347" s="2" t="s">
        <v>488</v>
      </c>
      <c r="N347" s="2">
        <v>2</v>
      </c>
      <c r="O347" s="2" t="s">
        <v>0</v>
      </c>
      <c r="P347" s="2">
        <v>45112009.670000002</v>
      </c>
      <c r="Q347" s="13">
        <v>90224019.340000004</v>
      </c>
      <c r="R347" t="s">
        <v>757</v>
      </c>
    </row>
    <row r="348" spans="1:18" x14ac:dyDescent="0.3">
      <c r="A348" s="2" t="s">
        <v>326</v>
      </c>
      <c r="B348" s="15">
        <v>46066</v>
      </c>
      <c r="C348" t="s">
        <v>691</v>
      </c>
      <c r="D348" s="3" t="s">
        <v>699</v>
      </c>
      <c r="E348" s="2" t="s">
        <v>69</v>
      </c>
      <c r="F348" s="3">
        <v>46050.437291666669</v>
      </c>
      <c r="G348" s="3" t="s">
        <v>690</v>
      </c>
      <c r="H348" t="s">
        <v>759</v>
      </c>
      <c r="I348" t="s">
        <v>699</v>
      </c>
      <c r="J348" s="2" t="s">
        <v>2</v>
      </c>
      <c r="K348" s="2" t="s">
        <v>726</v>
      </c>
      <c r="L348" s="2" t="s">
        <v>80</v>
      </c>
      <c r="M348" s="2" t="s">
        <v>425</v>
      </c>
      <c r="N348" s="2">
        <v>6</v>
      </c>
      <c r="O348" s="2" t="s">
        <v>0</v>
      </c>
      <c r="P348" s="2">
        <v>26806574.23</v>
      </c>
      <c r="Q348" s="13">
        <v>160839445.38</v>
      </c>
      <c r="R348" t="s">
        <v>757</v>
      </c>
    </row>
    <row r="349" spans="1:18" x14ac:dyDescent="0.3">
      <c r="A349" s="2" t="s">
        <v>326</v>
      </c>
      <c r="B349" s="15">
        <v>46066</v>
      </c>
      <c r="C349" t="s">
        <v>691</v>
      </c>
      <c r="D349" s="3" t="s">
        <v>699</v>
      </c>
      <c r="E349" s="2" t="s">
        <v>69</v>
      </c>
      <c r="F349" s="3">
        <v>46050.437291666669</v>
      </c>
      <c r="G349" s="3" t="s">
        <v>690</v>
      </c>
      <c r="H349" t="s">
        <v>759</v>
      </c>
      <c r="I349" t="s">
        <v>699</v>
      </c>
      <c r="J349" s="2" t="s">
        <v>2</v>
      </c>
      <c r="K349" s="2" t="s">
        <v>726</v>
      </c>
      <c r="L349" s="2" t="s">
        <v>80</v>
      </c>
      <c r="M349" s="2" t="s">
        <v>473</v>
      </c>
      <c r="N349" s="2">
        <v>6</v>
      </c>
      <c r="O349" s="2" t="s">
        <v>0</v>
      </c>
      <c r="P349" s="2">
        <v>29840868.07</v>
      </c>
      <c r="Q349" s="13">
        <v>179045208.42000002</v>
      </c>
      <c r="R349" t="s">
        <v>757</v>
      </c>
    </row>
    <row r="350" spans="1:18" x14ac:dyDescent="0.3">
      <c r="A350" s="2" t="s">
        <v>326</v>
      </c>
      <c r="B350" s="15">
        <v>46066</v>
      </c>
      <c r="C350" t="s">
        <v>691</v>
      </c>
      <c r="D350" s="3" t="s">
        <v>699</v>
      </c>
      <c r="E350" s="2" t="s">
        <v>69</v>
      </c>
      <c r="F350" s="3">
        <v>46050.437291666669</v>
      </c>
      <c r="G350" s="3" t="s">
        <v>690</v>
      </c>
      <c r="H350" t="s">
        <v>759</v>
      </c>
      <c r="I350" t="s">
        <v>699</v>
      </c>
      <c r="J350" s="2" t="s">
        <v>2</v>
      </c>
      <c r="K350" s="2" t="s">
        <v>726</v>
      </c>
      <c r="L350" s="2" t="s">
        <v>80</v>
      </c>
      <c r="M350" s="2" t="s">
        <v>584</v>
      </c>
      <c r="N350" s="2">
        <v>1</v>
      </c>
      <c r="O350" s="2" t="s">
        <v>0</v>
      </c>
      <c r="P350" s="2">
        <v>80538724.370000005</v>
      </c>
      <c r="Q350" s="13">
        <v>80538724.370000005</v>
      </c>
      <c r="R350" t="s">
        <v>757</v>
      </c>
    </row>
    <row r="351" spans="1:18" x14ac:dyDescent="0.3">
      <c r="A351" s="2" t="s">
        <v>327</v>
      </c>
      <c r="B351" s="15">
        <v>46066</v>
      </c>
      <c r="C351" t="s">
        <v>691</v>
      </c>
      <c r="D351" s="3" t="s">
        <v>699</v>
      </c>
      <c r="E351" s="2" t="s">
        <v>69</v>
      </c>
      <c r="F351" s="3">
        <v>46050.437291666669</v>
      </c>
      <c r="G351" s="3" t="s">
        <v>690</v>
      </c>
      <c r="H351" t="s">
        <v>759</v>
      </c>
      <c r="I351" t="s">
        <v>699</v>
      </c>
      <c r="J351" s="2" t="s">
        <v>2</v>
      </c>
      <c r="K351" s="2" t="s">
        <v>726</v>
      </c>
      <c r="L351" s="2" t="s">
        <v>80</v>
      </c>
      <c r="M351" s="2" t="s">
        <v>427</v>
      </c>
      <c r="N351" s="2">
        <v>74</v>
      </c>
      <c r="O351" s="2" t="s">
        <v>0</v>
      </c>
      <c r="P351" s="2">
        <v>45497.38</v>
      </c>
      <c r="Q351" s="13">
        <v>3366806.1199999996</v>
      </c>
      <c r="R351" t="s">
        <v>757</v>
      </c>
    </row>
    <row r="352" spans="1:18" x14ac:dyDescent="0.3">
      <c r="A352" s="2" t="s">
        <v>327</v>
      </c>
      <c r="B352" s="15">
        <v>46066</v>
      </c>
      <c r="C352" t="s">
        <v>691</v>
      </c>
      <c r="D352" s="3" t="s">
        <v>699</v>
      </c>
      <c r="E352" s="2" t="s">
        <v>69</v>
      </c>
      <c r="F352" s="3">
        <v>46050.437291666669</v>
      </c>
      <c r="G352" s="3" t="s">
        <v>690</v>
      </c>
      <c r="H352" t="s">
        <v>759</v>
      </c>
      <c r="I352" t="s">
        <v>699</v>
      </c>
      <c r="J352" s="2" t="s">
        <v>2</v>
      </c>
      <c r="K352" s="2" t="s">
        <v>726</v>
      </c>
      <c r="L352" s="2" t="s">
        <v>80</v>
      </c>
      <c r="M352" s="2" t="s">
        <v>485</v>
      </c>
      <c r="N352" s="2">
        <v>9</v>
      </c>
      <c r="O352" s="2" t="s">
        <v>0</v>
      </c>
      <c r="P352" s="2">
        <v>127858.9</v>
      </c>
      <c r="Q352" s="13">
        <v>1150730.0999999999</v>
      </c>
      <c r="R352" t="s">
        <v>757</v>
      </c>
    </row>
    <row r="353" spans="1:18" x14ac:dyDescent="0.3">
      <c r="A353" s="2" t="s">
        <v>327</v>
      </c>
      <c r="B353" s="15">
        <v>46066</v>
      </c>
      <c r="C353" t="s">
        <v>691</v>
      </c>
      <c r="D353" s="3" t="s">
        <v>699</v>
      </c>
      <c r="E353" s="2" t="s">
        <v>69</v>
      </c>
      <c r="F353" s="3">
        <v>46050.437291666669</v>
      </c>
      <c r="G353" s="3" t="s">
        <v>690</v>
      </c>
      <c r="H353" t="s">
        <v>759</v>
      </c>
      <c r="I353" t="s">
        <v>699</v>
      </c>
      <c r="J353" s="2" t="s">
        <v>2</v>
      </c>
      <c r="K353" s="2" t="s">
        <v>726</v>
      </c>
      <c r="L353" s="2" t="s">
        <v>80</v>
      </c>
      <c r="M353" s="2" t="s">
        <v>484</v>
      </c>
      <c r="N353" s="2">
        <v>42</v>
      </c>
      <c r="O353" s="2" t="s">
        <v>0</v>
      </c>
      <c r="P353" s="2">
        <v>675357.48</v>
      </c>
      <c r="Q353" s="13">
        <v>28365014.16</v>
      </c>
      <c r="R353" t="s">
        <v>757</v>
      </c>
    </row>
    <row r="354" spans="1:18" x14ac:dyDescent="0.3">
      <c r="A354" s="2" t="s">
        <v>327</v>
      </c>
      <c r="B354" s="15">
        <v>46066</v>
      </c>
      <c r="C354" t="s">
        <v>691</v>
      </c>
      <c r="D354" s="3" t="s">
        <v>699</v>
      </c>
      <c r="E354" s="2" t="s">
        <v>69</v>
      </c>
      <c r="F354" s="3">
        <v>46050.437291666669</v>
      </c>
      <c r="G354" s="3" t="s">
        <v>690</v>
      </c>
      <c r="H354" t="s">
        <v>759</v>
      </c>
      <c r="I354" t="s">
        <v>699</v>
      </c>
      <c r="J354" s="2" t="s">
        <v>2</v>
      </c>
      <c r="K354" s="2" t="s">
        <v>726</v>
      </c>
      <c r="L354" s="2" t="s">
        <v>80</v>
      </c>
      <c r="M354" s="2" t="s">
        <v>503</v>
      </c>
      <c r="N354" s="2">
        <v>57</v>
      </c>
      <c r="O354" s="2" t="s">
        <v>0</v>
      </c>
      <c r="P354" s="2">
        <v>675357.47</v>
      </c>
      <c r="Q354" s="13">
        <v>38495375.789999999</v>
      </c>
      <c r="R354" t="s">
        <v>757</v>
      </c>
    </row>
    <row r="355" spans="1:18" x14ac:dyDescent="0.3">
      <c r="A355" s="2" t="s">
        <v>328</v>
      </c>
      <c r="B355" s="15">
        <v>46066</v>
      </c>
      <c r="C355" t="s">
        <v>691</v>
      </c>
      <c r="D355" s="3" t="s">
        <v>699</v>
      </c>
      <c r="E355" s="2" t="s">
        <v>71</v>
      </c>
      <c r="F355" s="3">
        <v>46048.730347222219</v>
      </c>
      <c r="G355" s="3" t="s">
        <v>690</v>
      </c>
      <c r="H355" t="s">
        <v>759</v>
      </c>
      <c r="I355" t="s">
        <v>699</v>
      </c>
      <c r="J355" s="2" t="s">
        <v>8</v>
      </c>
      <c r="K355" s="2" t="s">
        <v>726</v>
      </c>
      <c r="L355" s="2" t="s">
        <v>79</v>
      </c>
      <c r="M355" s="2" t="s">
        <v>410</v>
      </c>
      <c r="N355" s="2">
        <v>1</v>
      </c>
      <c r="O355" s="2" t="s">
        <v>0</v>
      </c>
      <c r="P355" s="2">
        <v>559289.92000000004</v>
      </c>
      <c r="Q355" s="13">
        <v>559289.92000000004</v>
      </c>
      <c r="R355" t="s">
        <v>757</v>
      </c>
    </row>
    <row r="356" spans="1:18" x14ac:dyDescent="0.3">
      <c r="A356" s="2" t="s">
        <v>328</v>
      </c>
      <c r="B356" s="15">
        <v>46066</v>
      </c>
      <c r="C356" t="s">
        <v>691</v>
      </c>
      <c r="D356" s="3" t="s">
        <v>699</v>
      </c>
      <c r="E356" s="2" t="s">
        <v>71</v>
      </c>
      <c r="F356" s="3">
        <v>46048.730347222219</v>
      </c>
      <c r="G356" s="3" t="s">
        <v>690</v>
      </c>
      <c r="H356" t="s">
        <v>759</v>
      </c>
      <c r="I356" t="s">
        <v>699</v>
      </c>
      <c r="J356" s="2" t="s">
        <v>8</v>
      </c>
      <c r="K356" s="2" t="s">
        <v>726</v>
      </c>
      <c r="L356" s="2" t="s">
        <v>79</v>
      </c>
      <c r="M356" s="2" t="s">
        <v>392</v>
      </c>
      <c r="N356" s="2">
        <v>3</v>
      </c>
      <c r="O356" s="2" t="s">
        <v>0</v>
      </c>
      <c r="P356" s="2">
        <v>339226.33</v>
      </c>
      <c r="Q356" s="13">
        <v>1017678.99</v>
      </c>
      <c r="R356" t="s">
        <v>757</v>
      </c>
    </row>
    <row r="357" spans="1:18" x14ac:dyDescent="0.3">
      <c r="A357" s="2" t="s">
        <v>329</v>
      </c>
      <c r="B357" s="15">
        <v>46066</v>
      </c>
      <c r="C357" t="s">
        <v>691</v>
      </c>
      <c r="D357" s="3" t="s">
        <v>699</v>
      </c>
      <c r="E357" s="2" t="s">
        <v>330</v>
      </c>
      <c r="F357" s="3">
        <v>45967.471250000002</v>
      </c>
      <c r="G357" s="3" t="s">
        <v>723</v>
      </c>
      <c r="H357" t="s">
        <v>760</v>
      </c>
      <c r="I357" t="s">
        <v>703</v>
      </c>
      <c r="J357" s="2" t="s">
        <v>8</v>
      </c>
      <c r="K357" s="2" t="s">
        <v>726</v>
      </c>
      <c r="L357" s="2" t="s">
        <v>83</v>
      </c>
      <c r="M357" s="2" t="s">
        <v>585</v>
      </c>
      <c r="N357" s="2">
        <v>30</v>
      </c>
      <c r="O357" s="2" t="s">
        <v>0</v>
      </c>
      <c r="P357" s="2">
        <v>123436.78</v>
      </c>
      <c r="Q357" s="13">
        <v>3703103.4</v>
      </c>
      <c r="R357" t="s">
        <v>757</v>
      </c>
    </row>
    <row r="358" spans="1:18" x14ac:dyDescent="0.3">
      <c r="A358" s="2" t="s">
        <v>331</v>
      </c>
      <c r="B358" s="15">
        <v>46065</v>
      </c>
      <c r="C358" t="s">
        <v>691</v>
      </c>
      <c r="D358" s="3" t="s">
        <v>699</v>
      </c>
      <c r="E358" s="2" t="s">
        <v>228</v>
      </c>
      <c r="F358" s="3">
        <v>46006.546851851846</v>
      </c>
      <c r="G358" s="3" t="s">
        <v>724</v>
      </c>
      <c r="H358" t="s">
        <v>760</v>
      </c>
      <c r="I358" t="s">
        <v>703</v>
      </c>
      <c r="J358" s="2" t="s">
        <v>1</v>
      </c>
      <c r="K358" s="2" t="s">
        <v>6</v>
      </c>
      <c r="L358" s="2" t="s">
        <v>6</v>
      </c>
      <c r="M358" s="2" t="s">
        <v>586</v>
      </c>
      <c r="N358" s="2">
        <v>1</v>
      </c>
      <c r="O358" s="2" t="s">
        <v>0</v>
      </c>
      <c r="P358" s="2">
        <v>4666677.3099999996</v>
      </c>
      <c r="Q358" s="13">
        <v>4666677.3099999996</v>
      </c>
      <c r="R358" t="s">
        <v>757</v>
      </c>
    </row>
    <row r="359" spans="1:18" x14ac:dyDescent="0.3">
      <c r="A359" s="2" t="s">
        <v>331</v>
      </c>
      <c r="B359" s="15">
        <v>46065</v>
      </c>
      <c r="C359" t="s">
        <v>691</v>
      </c>
      <c r="D359" s="3" t="s">
        <v>699</v>
      </c>
      <c r="E359" s="2" t="s">
        <v>228</v>
      </c>
      <c r="F359" s="3">
        <v>46006.546851851846</v>
      </c>
      <c r="G359" s="3" t="s">
        <v>724</v>
      </c>
      <c r="H359" t="s">
        <v>760</v>
      </c>
      <c r="I359" t="s">
        <v>703</v>
      </c>
      <c r="J359" s="2" t="s">
        <v>1</v>
      </c>
      <c r="K359" s="2" t="s">
        <v>6</v>
      </c>
      <c r="L359" s="2" t="s">
        <v>6</v>
      </c>
      <c r="M359" s="2" t="s">
        <v>496</v>
      </c>
      <c r="N359" s="2">
        <v>1</v>
      </c>
      <c r="O359" s="2" t="s">
        <v>0</v>
      </c>
      <c r="P359" s="2">
        <v>2031546.22</v>
      </c>
      <c r="Q359" s="13">
        <v>2031546.22</v>
      </c>
      <c r="R359" t="s">
        <v>757</v>
      </c>
    </row>
    <row r="360" spans="1:18" x14ac:dyDescent="0.3">
      <c r="A360" s="2" t="s">
        <v>331</v>
      </c>
      <c r="B360" s="15">
        <v>46065</v>
      </c>
      <c r="C360" t="s">
        <v>691</v>
      </c>
      <c r="D360" s="3" t="s">
        <v>699</v>
      </c>
      <c r="E360" s="2" t="s">
        <v>228</v>
      </c>
      <c r="F360" s="3">
        <v>46006.546851851846</v>
      </c>
      <c r="G360" s="3" t="s">
        <v>724</v>
      </c>
      <c r="H360" t="s">
        <v>760</v>
      </c>
      <c r="I360" t="s">
        <v>703</v>
      </c>
      <c r="J360" s="2" t="s">
        <v>1</v>
      </c>
      <c r="K360" s="2" t="s">
        <v>6</v>
      </c>
      <c r="L360" s="2" t="s">
        <v>6</v>
      </c>
      <c r="M360" s="2" t="s">
        <v>497</v>
      </c>
      <c r="N360" s="2">
        <v>3</v>
      </c>
      <c r="O360" s="2" t="s">
        <v>0</v>
      </c>
      <c r="P360" s="2">
        <v>1739487.11</v>
      </c>
      <c r="Q360" s="13">
        <v>5218461.33</v>
      </c>
      <c r="R360" t="s">
        <v>757</v>
      </c>
    </row>
    <row r="361" spans="1:18" x14ac:dyDescent="0.3">
      <c r="A361" s="2" t="s">
        <v>331</v>
      </c>
      <c r="B361" s="15">
        <v>46065</v>
      </c>
      <c r="C361" t="s">
        <v>691</v>
      </c>
      <c r="D361" s="3" t="s">
        <v>699</v>
      </c>
      <c r="E361" s="2" t="s">
        <v>228</v>
      </c>
      <c r="F361" s="3">
        <v>46006.546851851846</v>
      </c>
      <c r="G361" s="3" t="s">
        <v>724</v>
      </c>
      <c r="H361" t="s">
        <v>760</v>
      </c>
      <c r="I361" t="s">
        <v>703</v>
      </c>
      <c r="J361" s="2" t="s">
        <v>1</v>
      </c>
      <c r="K361" s="2" t="s">
        <v>6</v>
      </c>
      <c r="L361" s="2" t="s">
        <v>6</v>
      </c>
      <c r="M361" s="2" t="s">
        <v>587</v>
      </c>
      <c r="N361" s="2">
        <v>1</v>
      </c>
      <c r="O361" s="2" t="s">
        <v>0</v>
      </c>
      <c r="P361" s="2">
        <v>1210689.08</v>
      </c>
      <c r="Q361" s="13">
        <v>1210689.08</v>
      </c>
      <c r="R361" t="s">
        <v>757</v>
      </c>
    </row>
    <row r="362" spans="1:18" x14ac:dyDescent="0.3">
      <c r="A362" s="2" t="s">
        <v>331</v>
      </c>
      <c r="B362" s="15">
        <v>46065</v>
      </c>
      <c r="C362" t="s">
        <v>691</v>
      </c>
      <c r="D362" s="3" t="s">
        <v>699</v>
      </c>
      <c r="E362" s="2" t="s">
        <v>228</v>
      </c>
      <c r="F362" s="3">
        <v>46006.546851851846</v>
      </c>
      <c r="G362" s="3" t="s">
        <v>724</v>
      </c>
      <c r="H362" t="s">
        <v>760</v>
      </c>
      <c r="I362" t="s">
        <v>703</v>
      </c>
      <c r="J362" s="2" t="s">
        <v>1</v>
      </c>
      <c r="K362" s="2" t="s">
        <v>6</v>
      </c>
      <c r="L362" s="2" t="s">
        <v>6</v>
      </c>
      <c r="M362" s="2" t="s">
        <v>495</v>
      </c>
      <c r="N362" s="2">
        <v>2</v>
      </c>
      <c r="O362" s="2" t="s">
        <v>0</v>
      </c>
      <c r="P362" s="2">
        <v>2320218.0699999998</v>
      </c>
      <c r="Q362" s="13">
        <v>4640436.1399999997</v>
      </c>
      <c r="R362" t="s">
        <v>757</v>
      </c>
    </row>
    <row r="363" spans="1:18" x14ac:dyDescent="0.3">
      <c r="A363" s="2" t="s">
        <v>331</v>
      </c>
      <c r="B363" s="15">
        <v>46065</v>
      </c>
      <c r="C363" t="s">
        <v>691</v>
      </c>
      <c r="D363" s="3" t="s">
        <v>699</v>
      </c>
      <c r="E363" s="2" t="s">
        <v>228</v>
      </c>
      <c r="F363" s="3">
        <v>46006.546851851846</v>
      </c>
      <c r="G363" s="3" t="s">
        <v>724</v>
      </c>
      <c r="H363" t="s">
        <v>760</v>
      </c>
      <c r="I363" t="s">
        <v>703</v>
      </c>
      <c r="J363" s="2" t="s">
        <v>1</v>
      </c>
      <c r="K363" s="2" t="s">
        <v>6</v>
      </c>
      <c r="L363" s="2" t="s">
        <v>6</v>
      </c>
      <c r="M363" s="2" t="s">
        <v>588</v>
      </c>
      <c r="N363" s="2">
        <v>1</v>
      </c>
      <c r="O363" s="2" t="s">
        <v>0</v>
      </c>
      <c r="P363" s="2">
        <v>2320216.81</v>
      </c>
      <c r="Q363" s="13">
        <v>2320216.81</v>
      </c>
      <c r="R363" t="s">
        <v>757</v>
      </c>
    </row>
    <row r="364" spans="1:18" x14ac:dyDescent="0.3">
      <c r="A364" s="2" t="s">
        <v>331</v>
      </c>
      <c r="B364" s="15">
        <v>46065</v>
      </c>
      <c r="C364" t="s">
        <v>691</v>
      </c>
      <c r="D364" s="3" t="s">
        <v>699</v>
      </c>
      <c r="E364" s="2" t="s">
        <v>228</v>
      </c>
      <c r="F364" s="3">
        <v>46006.546851851846</v>
      </c>
      <c r="G364" s="3" t="s">
        <v>724</v>
      </c>
      <c r="H364" t="s">
        <v>760</v>
      </c>
      <c r="I364" t="s">
        <v>703</v>
      </c>
      <c r="J364" s="2" t="s">
        <v>1</v>
      </c>
      <c r="K364" s="2" t="s">
        <v>6</v>
      </c>
      <c r="L364" s="2" t="s">
        <v>6</v>
      </c>
      <c r="M364" s="2" t="s">
        <v>589</v>
      </c>
      <c r="N364" s="2">
        <v>1</v>
      </c>
      <c r="O364" s="2" t="s">
        <v>0</v>
      </c>
      <c r="P364" s="2">
        <v>1757472.27</v>
      </c>
      <c r="Q364" s="13">
        <v>1757472.27</v>
      </c>
      <c r="R364" t="s">
        <v>757</v>
      </c>
    </row>
    <row r="365" spans="1:18" x14ac:dyDescent="0.3">
      <c r="A365" s="2" t="s">
        <v>332</v>
      </c>
      <c r="B365" s="15">
        <v>46062</v>
      </c>
      <c r="C365" t="s">
        <v>691</v>
      </c>
      <c r="D365" s="3" t="s">
        <v>699</v>
      </c>
      <c r="E365" s="2" t="s">
        <v>76</v>
      </c>
      <c r="F365" s="3">
        <v>46035.683055555557</v>
      </c>
      <c r="G365" s="3" t="s">
        <v>690</v>
      </c>
      <c r="H365" t="s">
        <v>759</v>
      </c>
      <c r="I365" t="s">
        <v>699</v>
      </c>
      <c r="J365" s="2" t="s">
        <v>2</v>
      </c>
      <c r="K365" s="2" t="s">
        <v>726</v>
      </c>
      <c r="L365" s="2" t="s">
        <v>80</v>
      </c>
      <c r="M365" s="2" t="s">
        <v>448</v>
      </c>
      <c r="N365" s="2">
        <v>3</v>
      </c>
      <c r="O365" s="2" t="s">
        <v>0</v>
      </c>
      <c r="P365" s="2">
        <v>8529166.9499999993</v>
      </c>
      <c r="Q365" s="13">
        <v>25587500.849999998</v>
      </c>
      <c r="R365" t="s">
        <v>757</v>
      </c>
    </row>
    <row r="366" spans="1:18" x14ac:dyDescent="0.3">
      <c r="A366" s="2" t="s">
        <v>333</v>
      </c>
      <c r="B366" s="15">
        <v>46052</v>
      </c>
      <c r="C366" t="s">
        <v>690</v>
      </c>
      <c r="D366" s="3" t="s">
        <v>699</v>
      </c>
      <c r="E366" s="2" t="s">
        <v>67</v>
      </c>
      <c r="F366" s="3">
        <v>46050.629502314812</v>
      </c>
      <c r="G366" s="3" t="s">
        <v>690</v>
      </c>
      <c r="H366" t="s">
        <v>759</v>
      </c>
      <c r="I366" t="s">
        <v>699</v>
      </c>
      <c r="J366" s="2" t="s">
        <v>1</v>
      </c>
      <c r="K366" s="2" t="s">
        <v>745</v>
      </c>
      <c r="L366" s="2" t="s">
        <v>89</v>
      </c>
      <c r="M366" s="2" t="s">
        <v>395</v>
      </c>
      <c r="N366" s="2">
        <v>10</v>
      </c>
      <c r="O366" s="2" t="s">
        <v>0</v>
      </c>
      <c r="P366" s="2">
        <v>4582.5200000000004</v>
      </c>
      <c r="Q366" s="13">
        <v>45825.200000000004</v>
      </c>
      <c r="R366" t="s">
        <v>757</v>
      </c>
    </row>
    <row r="367" spans="1:18" x14ac:dyDescent="0.3">
      <c r="A367" s="2" t="s">
        <v>333</v>
      </c>
      <c r="B367" s="15">
        <v>46052</v>
      </c>
      <c r="C367" t="s">
        <v>690</v>
      </c>
      <c r="D367" s="3" t="s">
        <v>699</v>
      </c>
      <c r="E367" s="2" t="s">
        <v>67</v>
      </c>
      <c r="F367" s="3">
        <v>46050.629502314812</v>
      </c>
      <c r="G367" s="3" t="s">
        <v>690</v>
      </c>
      <c r="H367" t="s">
        <v>759</v>
      </c>
      <c r="I367" t="s">
        <v>699</v>
      </c>
      <c r="J367" s="2" t="s">
        <v>1</v>
      </c>
      <c r="K367" s="2" t="s">
        <v>745</v>
      </c>
      <c r="L367" s="2" t="s">
        <v>89</v>
      </c>
      <c r="M367" s="2" t="s">
        <v>578</v>
      </c>
      <c r="N367" s="2">
        <v>10</v>
      </c>
      <c r="O367" s="2" t="s">
        <v>0</v>
      </c>
      <c r="P367" s="2">
        <v>21665.88</v>
      </c>
      <c r="Q367" s="13">
        <v>216658.80000000002</v>
      </c>
      <c r="R367" t="s">
        <v>757</v>
      </c>
    </row>
    <row r="368" spans="1:18" x14ac:dyDescent="0.3">
      <c r="A368" s="2" t="s">
        <v>333</v>
      </c>
      <c r="B368" s="15">
        <v>46052</v>
      </c>
      <c r="C368" t="s">
        <v>690</v>
      </c>
      <c r="D368" s="3" t="s">
        <v>699</v>
      </c>
      <c r="E368" s="2" t="s">
        <v>67</v>
      </c>
      <c r="F368" s="3">
        <v>46050.629502314812</v>
      </c>
      <c r="G368" s="3" t="s">
        <v>690</v>
      </c>
      <c r="H368" t="s">
        <v>759</v>
      </c>
      <c r="I368" t="s">
        <v>699</v>
      </c>
      <c r="J368" s="2" t="s">
        <v>1</v>
      </c>
      <c r="K368" s="2" t="s">
        <v>745</v>
      </c>
      <c r="L368" s="2" t="s">
        <v>79</v>
      </c>
      <c r="M368" s="2" t="s">
        <v>577</v>
      </c>
      <c r="N368" s="2">
        <v>5</v>
      </c>
      <c r="O368" s="2" t="s">
        <v>0</v>
      </c>
      <c r="P368" s="2">
        <v>13454.12</v>
      </c>
      <c r="Q368" s="13">
        <v>67270.600000000006</v>
      </c>
      <c r="R368" t="s">
        <v>757</v>
      </c>
    </row>
    <row r="369" spans="1:18" x14ac:dyDescent="0.3">
      <c r="A369" s="2" t="s">
        <v>333</v>
      </c>
      <c r="B369" s="15">
        <v>46052</v>
      </c>
      <c r="C369" t="s">
        <v>690</v>
      </c>
      <c r="D369" s="3" t="s">
        <v>699</v>
      </c>
      <c r="E369" s="2" t="s">
        <v>67</v>
      </c>
      <c r="F369" s="3">
        <v>46050.629502314812</v>
      </c>
      <c r="G369" s="3" t="s">
        <v>690</v>
      </c>
      <c r="H369" t="s">
        <v>759</v>
      </c>
      <c r="I369" t="s">
        <v>699</v>
      </c>
      <c r="J369" s="2" t="s">
        <v>1</v>
      </c>
      <c r="K369" s="2" t="s">
        <v>745</v>
      </c>
      <c r="L369" s="2" t="s">
        <v>89</v>
      </c>
      <c r="M369" s="2" t="s">
        <v>522</v>
      </c>
      <c r="N369" s="2">
        <v>10</v>
      </c>
      <c r="O369" s="2" t="s">
        <v>0</v>
      </c>
      <c r="P369" s="2">
        <v>127869.08</v>
      </c>
      <c r="Q369" s="13">
        <v>1278690.8</v>
      </c>
      <c r="R369" t="s">
        <v>757</v>
      </c>
    </row>
    <row r="370" spans="1:18" x14ac:dyDescent="0.3">
      <c r="A370" s="2" t="s">
        <v>334</v>
      </c>
      <c r="B370" s="15">
        <v>46052</v>
      </c>
      <c r="C370" t="s">
        <v>690</v>
      </c>
      <c r="D370" s="3" t="s">
        <v>699</v>
      </c>
      <c r="E370" s="2" t="s">
        <v>70</v>
      </c>
      <c r="F370" s="3">
        <v>46050.405601851853</v>
      </c>
      <c r="G370" s="3" t="s">
        <v>690</v>
      </c>
      <c r="H370" t="s">
        <v>759</v>
      </c>
      <c r="I370" t="s">
        <v>699</v>
      </c>
      <c r="J370" s="2" t="s">
        <v>8</v>
      </c>
      <c r="K370" s="2" t="s">
        <v>726</v>
      </c>
      <c r="L370" s="2" t="s">
        <v>90</v>
      </c>
      <c r="M370" s="2" t="s">
        <v>533</v>
      </c>
      <c r="N370" s="2">
        <v>7</v>
      </c>
      <c r="O370" s="2" t="s">
        <v>0</v>
      </c>
      <c r="P370" s="2">
        <v>118332.29</v>
      </c>
      <c r="Q370" s="13">
        <v>828326.02999999991</v>
      </c>
      <c r="R370" t="s">
        <v>757</v>
      </c>
    </row>
    <row r="371" spans="1:18" x14ac:dyDescent="0.3">
      <c r="A371" s="2" t="s">
        <v>334</v>
      </c>
      <c r="B371" s="15">
        <v>46052</v>
      </c>
      <c r="C371" t="s">
        <v>690</v>
      </c>
      <c r="D371" s="3" t="s">
        <v>699</v>
      </c>
      <c r="E371" s="2" t="s">
        <v>70</v>
      </c>
      <c r="F371" s="3">
        <v>46050.405601851853</v>
      </c>
      <c r="G371" s="3" t="s">
        <v>690</v>
      </c>
      <c r="H371" t="s">
        <v>759</v>
      </c>
      <c r="I371" t="s">
        <v>699</v>
      </c>
      <c r="J371" s="2" t="s">
        <v>8</v>
      </c>
      <c r="K371" s="2" t="s">
        <v>726</v>
      </c>
      <c r="L371" s="2" t="s">
        <v>79</v>
      </c>
      <c r="M371" s="2" t="s">
        <v>591</v>
      </c>
      <c r="N371" s="2">
        <v>3</v>
      </c>
      <c r="O371" s="2" t="s">
        <v>0</v>
      </c>
      <c r="P371" s="2">
        <v>128144.54</v>
      </c>
      <c r="Q371" s="13">
        <v>384433.62</v>
      </c>
      <c r="R371" t="s">
        <v>757</v>
      </c>
    </row>
    <row r="372" spans="1:18" x14ac:dyDescent="0.3">
      <c r="A372" s="2" t="s">
        <v>334</v>
      </c>
      <c r="B372" s="15">
        <v>46052</v>
      </c>
      <c r="C372" t="s">
        <v>690</v>
      </c>
      <c r="D372" s="3" t="s">
        <v>699</v>
      </c>
      <c r="E372" s="2" t="s">
        <v>70</v>
      </c>
      <c r="F372" s="3">
        <v>46050.405601851853</v>
      </c>
      <c r="G372" s="3" t="s">
        <v>690</v>
      </c>
      <c r="H372" t="s">
        <v>759</v>
      </c>
      <c r="I372" t="s">
        <v>699</v>
      </c>
      <c r="J372" s="2" t="s">
        <v>8</v>
      </c>
      <c r="K372" s="2" t="s">
        <v>726</v>
      </c>
      <c r="L372" s="2" t="s">
        <v>79</v>
      </c>
      <c r="M372" s="2" t="s">
        <v>409</v>
      </c>
      <c r="N372" s="2">
        <v>25</v>
      </c>
      <c r="O372" s="2" t="s">
        <v>0</v>
      </c>
      <c r="P372" s="2">
        <v>48328.81</v>
      </c>
      <c r="Q372" s="13">
        <v>1208220.25</v>
      </c>
      <c r="R372" t="s">
        <v>757</v>
      </c>
    </row>
    <row r="373" spans="1:18" x14ac:dyDescent="0.3">
      <c r="A373" s="2" t="s">
        <v>335</v>
      </c>
      <c r="B373" s="15">
        <v>46052</v>
      </c>
      <c r="C373" t="s">
        <v>690</v>
      </c>
      <c r="D373" s="3" t="s">
        <v>699</v>
      </c>
      <c r="E373" s="2" t="s">
        <v>71</v>
      </c>
      <c r="F373" s="3">
        <v>46048.730347222219</v>
      </c>
      <c r="G373" s="3" t="s">
        <v>690</v>
      </c>
      <c r="H373" t="s">
        <v>759</v>
      </c>
      <c r="I373" t="s">
        <v>699</v>
      </c>
      <c r="J373" s="2" t="s">
        <v>8</v>
      </c>
      <c r="K373" s="2" t="s">
        <v>726</v>
      </c>
      <c r="L373" s="2" t="s">
        <v>92</v>
      </c>
      <c r="M373" s="2" t="s">
        <v>560</v>
      </c>
      <c r="N373" s="2">
        <v>2</v>
      </c>
      <c r="O373" s="2" t="s">
        <v>0</v>
      </c>
      <c r="P373" s="2">
        <v>230697.06</v>
      </c>
      <c r="Q373" s="13">
        <v>461394.12</v>
      </c>
      <c r="R373" t="s">
        <v>757</v>
      </c>
    </row>
    <row r="374" spans="1:18" x14ac:dyDescent="0.3">
      <c r="A374" s="2" t="s">
        <v>335</v>
      </c>
      <c r="B374" s="15">
        <v>46052</v>
      </c>
      <c r="C374" t="s">
        <v>690</v>
      </c>
      <c r="D374" s="3" t="s">
        <v>699</v>
      </c>
      <c r="E374" s="2" t="s">
        <v>71</v>
      </c>
      <c r="F374" s="3">
        <v>46048.730347222219</v>
      </c>
      <c r="G374" s="3" t="s">
        <v>690</v>
      </c>
      <c r="H374" t="s">
        <v>759</v>
      </c>
      <c r="I374" t="s">
        <v>699</v>
      </c>
      <c r="J374" s="2" t="s">
        <v>8</v>
      </c>
      <c r="K374" s="2" t="s">
        <v>726</v>
      </c>
      <c r="L374" s="2" t="s">
        <v>79</v>
      </c>
      <c r="M374" s="2" t="s">
        <v>410</v>
      </c>
      <c r="N374" s="2">
        <v>1</v>
      </c>
      <c r="O374" s="2" t="s">
        <v>0</v>
      </c>
      <c r="P374" s="2">
        <v>560724.37</v>
      </c>
      <c r="Q374" s="13">
        <v>560724.37</v>
      </c>
      <c r="R374" t="s">
        <v>757</v>
      </c>
    </row>
    <row r="375" spans="1:18" x14ac:dyDescent="0.3">
      <c r="A375" s="2" t="s">
        <v>335</v>
      </c>
      <c r="B375" s="15">
        <v>46052</v>
      </c>
      <c r="C375" t="s">
        <v>690</v>
      </c>
      <c r="D375" s="3" t="s">
        <v>699</v>
      </c>
      <c r="E375" s="2" t="s">
        <v>71</v>
      </c>
      <c r="F375" s="3">
        <v>46048.730347222219</v>
      </c>
      <c r="G375" s="3" t="s">
        <v>690</v>
      </c>
      <c r="H375" t="s">
        <v>759</v>
      </c>
      <c r="I375" t="s">
        <v>699</v>
      </c>
      <c r="J375" s="2" t="s">
        <v>8</v>
      </c>
      <c r="K375" s="2" t="s">
        <v>726</v>
      </c>
      <c r="L375" s="2" t="s">
        <v>82</v>
      </c>
      <c r="M375" s="2" t="s">
        <v>592</v>
      </c>
      <c r="N375" s="2">
        <v>11</v>
      </c>
      <c r="O375" s="2" t="s">
        <v>0</v>
      </c>
      <c r="P375" s="2">
        <v>542124.52</v>
      </c>
      <c r="Q375" s="13">
        <v>5963369.7200000007</v>
      </c>
      <c r="R375" t="s">
        <v>757</v>
      </c>
    </row>
    <row r="376" spans="1:18" x14ac:dyDescent="0.3">
      <c r="A376" s="2" t="s">
        <v>336</v>
      </c>
      <c r="B376" s="15">
        <v>46052</v>
      </c>
      <c r="C376" t="s">
        <v>690</v>
      </c>
      <c r="D376" s="3" t="s">
        <v>699</v>
      </c>
      <c r="E376" s="2" t="s">
        <v>76</v>
      </c>
      <c r="F376" s="3">
        <v>46035.683055555557</v>
      </c>
      <c r="G376" s="3" t="s">
        <v>690</v>
      </c>
      <c r="H376" t="s">
        <v>759</v>
      </c>
      <c r="I376" t="s">
        <v>699</v>
      </c>
      <c r="J376" s="2" t="s">
        <v>2</v>
      </c>
      <c r="K376" s="2" t="s">
        <v>726</v>
      </c>
      <c r="L376" s="2" t="s">
        <v>80</v>
      </c>
      <c r="M376" s="2" t="s">
        <v>503</v>
      </c>
      <c r="N376" s="2">
        <v>8</v>
      </c>
      <c r="O376" s="2" t="s">
        <v>0</v>
      </c>
      <c r="P376" s="2">
        <v>909484.66</v>
      </c>
      <c r="Q376" s="13">
        <v>7275877.2800000003</v>
      </c>
      <c r="R376" t="s">
        <v>757</v>
      </c>
    </row>
    <row r="377" spans="1:18" x14ac:dyDescent="0.3">
      <c r="A377" s="2" t="s">
        <v>337</v>
      </c>
      <c r="B377" s="15">
        <v>46052</v>
      </c>
      <c r="C377" t="s">
        <v>690</v>
      </c>
      <c r="D377" s="3" t="s">
        <v>699</v>
      </c>
      <c r="E377" s="2" t="s">
        <v>338</v>
      </c>
      <c r="F377" s="3">
        <v>45790.366747685177</v>
      </c>
      <c r="G377" s="3" t="s">
        <v>717</v>
      </c>
      <c r="H377" t="s">
        <v>760</v>
      </c>
      <c r="I377" t="s">
        <v>701</v>
      </c>
      <c r="J377" s="2" t="s">
        <v>2</v>
      </c>
      <c r="K377" s="2" t="s">
        <v>726</v>
      </c>
      <c r="L377" s="2" t="s">
        <v>80</v>
      </c>
      <c r="M377" s="2" t="s">
        <v>503</v>
      </c>
      <c r="N377" s="2">
        <v>2</v>
      </c>
      <c r="O377" s="2" t="s">
        <v>0</v>
      </c>
      <c r="P377" s="2">
        <v>770450.84</v>
      </c>
      <c r="Q377" s="13">
        <v>1540901.68</v>
      </c>
      <c r="R377" t="s">
        <v>757</v>
      </c>
    </row>
    <row r="378" spans="1:18" x14ac:dyDescent="0.3">
      <c r="A378" s="2" t="s">
        <v>339</v>
      </c>
      <c r="B378" s="15">
        <v>46052</v>
      </c>
      <c r="C378" t="s">
        <v>690</v>
      </c>
      <c r="D378" s="3" t="s">
        <v>699</v>
      </c>
      <c r="E378" s="2" t="s">
        <v>301</v>
      </c>
      <c r="F378" s="3">
        <v>45986.625902777778</v>
      </c>
      <c r="G378" s="3" t="s">
        <v>723</v>
      </c>
      <c r="H378" t="s">
        <v>760</v>
      </c>
      <c r="I378" t="s">
        <v>703</v>
      </c>
      <c r="J378" s="2" t="s">
        <v>2</v>
      </c>
      <c r="K378" s="2" t="s">
        <v>726</v>
      </c>
      <c r="L378" s="2" t="s">
        <v>80</v>
      </c>
      <c r="M378" s="2" t="s">
        <v>503</v>
      </c>
      <c r="N378" s="2">
        <v>2</v>
      </c>
      <c r="O378" s="2" t="s">
        <v>0</v>
      </c>
      <c r="P378" s="2">
        <v>1089229.4099999999</v>
      </c>
      <c r="Q378" s="13">
        <v>2178458.8199999998</v>
      </c>
      <c r="R378" t="s">
        <v>757</v>
      </c>
    </row>
    <row r="379" spans="1:18" x14ac:dyDescent="0.3">
      <c r="A379" s="2" t="s">
        <v>340</v>
      </c>
      <c r="B379" s="15">
        <v>46052</v>
      </c>
      <c r="C379" t="s">
        <v>690</v>
      </c>
      <c r="D379" s="3" t="s">
        <v>699</v>
      </c>
      <c r="E379" s="2" t="s">
        <v>303</v>
      </c>
      <c r="F379" s="3">
        <v>45986.627291666657</v>
      </c>
      <c r="G379" s="3" t="s">
        <v>723</v>
      </c>
      <c r="H379" t="s">
        <v>760</v>
      </c>
      <c r="I379" t="s">
        <v>703</v>
      </c>
      <c r="J379" s="2" t="s">
        <v>2</v>
      </c>
      <c r="K379" s="2" t="s">
        <v>726</v>
      </c>
      <c r="L379" s="2" t="s">
        <v>80</v>
      </c>
      <c r="M379" s="2" t="s">
        <v>503</v>
      </c>
      <c r="N379" s="2">
        <v>4</v>
      </c>
      <c r="O379" s="2" t="s">
        <v>0</v>
      </c>
      <c r="P379" s="2">
        <v>1089229.2</v>
      </c>
      <c r="Q379" s="13">
        <v>4356916.8</v>
      </c>
      <c r="R379" t="s">
        <v>757</v>
      </c>
    </row>
    <row r="380" spans="1:18" x14ac:dyDescent="0.3">
      <c r="A380" s="2" t="s">
        <v>341</v>
      </c>
      <c r="B380" s="15">
        <v>46052</v>
      </c>
      <c r="C380" t="s">
        <v>690</v>
      </c>
      <c r="D380" s="3" t="s">
        <v>699</v>
      </c>
      <c r="E380" s="2" t="s">
        <v>261</v>
      </c>
      <c r="F380" s="3">
        <v>45986.674178240741</v>
      </c>
      <c r="G380" s="3" t="s">
        <v>723</v>
      </c>
      <c r="H380" t="s">
        <v>760</v>
      </c>
      <c r="I380" t="s">
        <v>703</v>
      </c>
      <c r="J380" s="2" t="s">
        <v>2</v>
      </c>
      <c r="K380" s="2" t="s">
        <v>726</v>
      </c>
      <c r="L380" s="2" t="s">
        <v>80</v>
      </c>
      <c r="M380" s="2" t="s">
        <v>503</v>
      </c>
      <c r="N380" s="2">
        <v>25</v>
      </c>
      <c r="O380" s="2" t="s">
        <v>0</v>
      </c>
      <c r="P380" s="2">
        <v>754724.87</v>
      </c>
      <c r="Q380" s="13">
        <v>18868121.75</v>
      </c>
      <c r="R380" t="s">
        <v>757</v>
      </c>
    </row>
    <row r="381" spans="1:18" x14ac:dyDescent="0.3">
      <c r="A381" s="2" t="s">
        <v>342</v>
      </c>
      <c r="B381" s="15">
        <v>46052</v>
      </c>
      <c r="C381" t="s">
        <v>690</v>
      </c>
      <c r="D381" s="3" t="s">
        <v>699</v>
      </c>
      <c r="E381" s="2" t="s">
        <v>263</v>
      </c>
      <c r="F381" s="3">
        <v>45980.755532407413</v>
      </c>
      <c r="G381" s="3" t="s">
        <v>723</v>
      </c>
      <c r="H381" t="s">
        <v>760</v>
      </c>
      <c r="I381" t="s">
        <v>703</v>
      </c>
      <c r="J381" s="2" t="s">
        <v>2</v>
      </c>
      <c r="K381" s="2" t="s">
        <v>726</v>
      </c>
      <c r="L381" s="2" t="s">
        <v>80</v>
      </c>
      <c r="M381" s="2" t="s">
        <v>503</v>
      </c>
      <c r="N381" s="2">
        <v>2</v>
      </c>
      <c r="O381" s="2" t="s">
        <v>0</v>
      </c>
      <c r="P381" s="2">
        <v>622575.63</v>
      </c>
      <c r="Q381" s="13">
        <v>1245151.26</v>
      </c>
      <c r="R381" t="s">
        <v>757</v>
      </c>
    </row>
    <row r="382" spans="1:18" x14ac:dyDescent="0.3">
      <c r="A382" s="2" t="s">
        <v>343</v>
      </c>
      <c r="B382" s="15">
        <v>46052</v>
      </c>
      <c r="C382" t="s">
        <v>690</v>
      </c>
      <c r="D382" s="3" t="s">
        <v>699</v>
      </c>
      <c r="E382" s="2" t="s">
        <v>245</v>
      </c>
      <c r="F382" s="3">
        <v>45982.66778935185</v>
      </c>
      <c r="G382" s="3" t="s">
        <v>723</v>
      </c>
      <c r="H382" t="s">
        <v>760</v>
      </c>
      <c r="I382" t="s">
        <v>703</v>
      </c>
      <c r="J382" s="2" t="s">
        <v>2</v>
      </c>
      <c r="K382" s="2" t="s">
        <v>726</v>
      </c>
      <c r="L382" s="2" t="s">
        <v>80</v>
      </c>
      <c r="M382" s="2" t="s">
        <v>503</v>
      </c>
      <c r="N382" s="2">
        <v>24</v>
      </c>
      <c r="O382" s="2" t="s">
        <v>0</v>
      </c>
      <c r="P382" s="2">
        <v>787539.01</v>
      </c>
      <c r="Q382" s="13">
        <v>18900936.240000002</v>
      </c>
      <c r="R382" t="s">
        <v>757</v>
      </c>
    </row>
    <row r="383" spans="1:18" x14ac:dyDescent="0.3">
      <c r="A383" s="2" t="s">
        <v>344</v>
      </c>
      <c r="B383" s="15">
        <v>46052</v>
      </c>
      <c r="C383" t="s">
        <v>690</v>
      </c>
      <c r="D383" s="3" t="s">
        <v>699</v>
      </c>
      <c r="E383" s="2" t="s">
        <v>345</v>
      </c>
      <c r="F383" s="3">
        <v>45980.756423611107</v>
      </c>
      <c r="G383" s="3" t="s">
        <v>723</v>
      </c>
      <c r="H383" t="s">
        <v>760</v>
      </c>
      <c r="I383" t="s">
        <v>703</v>
      </c>
      <c r="J383" s="2" t="s">
        <v>2</v>
      </c>
      <c r="K383" s="2" t="s">
        <v>726</v>
      </c>
      <c r="L383" s="2" t="s">
        <v>80</v>
      </c>
      <c r="M383" s="2" t="s">
        <v>503</v>
      </c>
      <c r="N383" s="2">
        <v>2</v>
      </c>
      <c r="O383" s="2" t="s">
        <v>0</v>
      </c>
      <c r="P383" s="2">
        <v>1396758.41</v>
      </c>
      <c r="Q383" s="13">
        <v>2793516.82</v>
      </c>
      <c r="R383" t="s">
        <v>757</v>
      </c>
    </row>
    <row r="384" spans="1:18" x14ac:dyDescent="0.3">
      <c r="A384" s="2" t="s">
        <v>346</v>
      </c>
      <c r="B384" s="15">
        <v>46052</v>
      </c>
      <c r="C384" t="s">
        <v>690</v>
      </c>
      <c r="D384" s="3" t="s">
        <v>699</v>
      </c>
      <c r="E384" s="2" t="s">
        <v>241</v>
      </c>
      <c r="F384" s="3">
        <v>45980.757326388892</v>
      </c>
      <c r="G384" s="3" t="s">
        <v>723</v>
      </c>
      <c r="H384" t="s">
        <v>760</v>
      </c>
      <c r="I384" t="s">
        <v>703</v>
      </c>
      <c r="J384" s="2" t="s">
        <v>2</v>
      </c>
      <c r="K384" s="2" t="s">
        <v>726</v>
      </c>
      <c r="L384" s="2" t="s">
        <v>80</v>
      </c>
      <c r="M384" s="2" t="s">
        <v>503</v>
      </c>
      <c r="N384" s="2">
        <v>58</v>
      </c>
      <c r="O384" s="2" t="s">
        <v>0</v>
      </c>
      <c r="P384" s="2">
        <v>675497.97</v>
      </c>
      <c r="Q384" s="13">
        <v>39178882.259999998</v>
      </c>
      <c r="R384" t="s">
        <v>757</v>
      </c>
    </row>
    <row r="385" spans="1:18" x14ac:dyDescent="0.3">
      <c r="A385" s="2" t="s">
        <v>347</v>
      </c>
      <c r="B385" s="15">
        <v>46052</v>
      </c>
      <c r="C385" t="s">
        <v>690</v>
      </c>
      <c r="D385" s="3" t="s">
        <v>699</v>
      </c>
      <c r="E385" s="2" t="s">
        <v>266</v>
      </c>
      <c r="F385" s="3">
        <v>45980.758263888893</v>
      </c>
      <c r="G385" s="3" t="s">
        <v>723</v>
      </c>
      <c r="H385" t="s">
        <v>760</v>
      </c>
      <c r="I385" t="s">
        <v>703</v>
      </c>
      <c r="J385" s="2" t="s">
        <v>2</v>
      </c>
      <c r="K385" s="2" t="s">
        <v>726</v>
      </c>
      <c r="L385" s="2" t="s">
        <v>80</v>
      </c>
      <c r="M385" s="2" t="s">
        <v>503</v>
      </c>
      <c r="N385" s="2">
        <v>7</v>
      </c>
      <c r="O385" s="2" t="s">
        <v>0</v>
      </c>
      <c r="P385" s="2">
        <v>1175312.8500000001</v>
      </c>
      <c r="Q385" s="13">
        <v>8227189.9500000011</v>
      </c>
      <c r="R385" t="s">
        <v>757</v>
      </c>
    </row>
    <row r="386" spans="1:18" x14ac:dyDescent="0.3">
      <c r="A386" s="2" t="s">
        <v>348</v>
      </c>
      <c r="B386" s="15">
        <v>46051</v>
      </c>
      <c r="C386" t="s">
        <v>690</v>
      </c>
      <c r="D386" s="3" t="s">
        <v>699</v>
      </c>
      <c r="E386" s="2" t="s">
        <v>349</v>
      </c>
      <c r="F386" s="3">
        <v>45974.466828703713</v>
      </c>
      <c r="G386" s="3" t="s">
        <v>723</v>
      </c>
      <c r="H386" t="s">
        <v>760</v>
      </c>
      <c r="I386" t="s">
        <v>703</v>
      </c>
      <c r="J386" s="2" t="s">
        <v>1</v>
      </c>
      <c r="K386" s="2" t="s">
        <v>6</v>
      </c>
      <c r="L386" s="2" t="s">
        <v>6</v>
      </c>
      <c r="M386" s="2" t="s">
        <v>507</v>
      </c>
      <c r="N386" s="2">
        <v>5</v>
      </c>
      <c r="O386" s="2" t="s">
        <v>0</v>
      </c>
      <c r="P386" s="2">
        <v>720050.08</v>
      </c>
      <c r="Q386" s="13">
        <v>3600250.4</v>
      </c>
      <c r="R386" t="s">
        <v>757</v>
      </c>
    </row>
    <row r="387" spans="1:18" x14ac:dyDescent="0.3">
      <c r="A387" s="2" t="s">
        <v>350</v>
      </c>
      <c r="B387" s="15">
        <v>46049</v>
      </c>
      <c r="C387" t="s">
        <v>690</v>
      </c>
      <c r="D387" s="3" t="s">
        <v>699</v>
      </c>
      <c r="E387" s="2" t="s">
        <v>351</v>
      </c>
      <c r="F387" s="3">
        <v>46009.609872685192</v>
      </c>
      <c r="G387" s="3" t="s">
        <v>724</v>
      </c>
      <c r="H387" t="s">
        <v>760</v>
      </c>
      <c r="I387" t="s">
        <v>703</v>
      </c>
      <c r="J387" s="2" t="s">
        <v>1</v>
      </c>
      <c r="K387" s="2" t="s">
        <v>1</v>
      </c>
      <c r="L387" s="2" t="s">
        <v>80</v>
      </c>
      <c r="M387" s="2" t="s">
        <v>481</v>
      </c>
      <c r="N387" s="2">
        <v>1</v>
      </c>
      <c r="O387" s="2" t="s">
        <v>0</v>
      </c>
      <c r="P387" s="2">
        <v>1592516.81</v>
      </c>
      <c r="Q387" s="13">
        <v>1592516.81</v>
      </c>
      <c r="R387" t="s">
        <v>757</v>
      </c>
    </row>
    <row r="388" spans="1:18" x14ac:dyDescent="0.3">
      <c r="A388" s="2" t="s">
        <v>352</v>
      </c>
      <c r="B388" s="15">
        <v>46049</v>
      </c>
      <c r="C388" t="s">
        <v>690</v>
      </c>
      <c r="D388" s="3" t="s">
        <v>699</v>
      </c>
      <c r="E388" s="2" t="s">
        <v>73</v>
      </c>
      <c r="F388" s="3">
        <v>46048.623078703713</v>
      </c>
      <c r="G388" s="3" t="s">
        <v>690</v>
      </c>
      <c r="H388" t="s">
        <v>759</v>
      </c>
      <c r="I388" t="s">
        <v>699</v>
      </c>
      <c r="J388" s="2" t="s">
        <v>1</v>
      </c>
      <c r="K388" s="2" t="s">
        <v>1</v>
      </c>
      <c r="L388" s="2" t="s">
        <v>86</v>
      </c>
      <c r="M388" s="2" t="s">
        <v>539</v>
      </c>
      <c r="N388" s="2">
        <v>1</v>
      </c>
      <c r="O388" s="2" t="s">
        <v>0</v>
      </c>
      <c r="P388" s="2">
        <v>506969.75</v>
      </c>
      <c r="Q388" s="13">
        <v>506969.75</v>
      </c>
      <c r="R388" t="s">
        <v>757</v>
      </c>
    </row>
    <row r="389" spans="1:18" x14ac:dyDescent="0.3">
      <c r="A389" s="2" t="s">
        <v>353</v>
      </c>
      <c r="B389" s="15">
        <v>46049</v>
      </c>
      <c r="C389" t="s">
        <v>690</v>
      </c>
      <c r="D389" s="3" t="s">
        <v>699</v>
      </c>
      <c r="E389" s="2" t="s">
        <v>263</v>
      </c>
      <c r="F389" s="3">
        <v>45980.755532407413</v>
      </c>
      <c r="G389" s="3" t="s">
        <v>723</v>
      </c>
      <c r="H389" t="s">
        <v>760</v>
      </c>
      <c r="I389" t="s">
        <v>703</v>
      </c>
      <c r="J389" s="2" t="s">
        <v>2</v>
      </c>
      <c r="K389" s="2" t="s">
        <v>726</v>
      </c>
      <c r="L389" s="2" t="s">
        <v>80</v>
      </c>
      <c r="M389" s="2" t="s">
        <v>412</v>
      </c>
      <c r="N389" s="2">
        <v>5</v>
      </c>
      <c r="O389" s="2" t="s">
        <v>0</v>
      </c>
      <c r="P389" s="2">
        <v>1937040.34</v>
      </c>
      <c r="Q389" s="13">
        <v>9685201.7000000011</v>
      </c>
      <c r="R389" t="s">
        <v>757</v>
      </c>
    </row>
    <row r="390" spans="1:18" x14ac:dyDescent="0.3">
      <c r="A390" s="2" t="s">
        <v>354</v>
      </c>
      <c r="B390" s="15">
        <v>46049</v>
      </c>
      <c r="C390" t="s">
        <v>690</v>
      </c>
      <c r="D390" s="3" t="s">
        <v>699</v>
      </c>
      <c r="E390" s="2" t="s">
        <v>241</v>
      </c>
      <c r="F390" s="3">
        <v>45980.757326388892</v>
      </c>
      <c r="G390" s="3" t="s">
        <v>723</v>
      </c>
      <c r="H390" t="s">
        <v>760</v>
      </c>
      <c r="I390" t="s">
        <v>703</v>
      </c>
      <c r="J390" s="2" t="s">
        <v>2</v>
      </c>
      <c r="K390" s="2" t="s">
        <v>726</v>
      </c>
      <c r="L390" s="2" t="s">
        <v>80</v>
      </c>
      <c r="M390" s="2" t="s">
        <v>412</v>
      </c>
      <c r="N390" s="2">
        <v>30</v>
      </c>
      <c r="O390" s="2" t="s">
        <v>0</v>
      </c>
      <c r="P390" s="2">
        <v>1666855.41</v>
      </c>
      <c r="Q390" s="13">
        <v>50005662.299999997</v>
      </c>
      <c r="R390" t="s">
        <v>757</v>
      </c>
    </row>
    <row r="391" spans="1:18" x14ac:dyDescent="0.3">
      <c r="A391" s="2" t="s">
        <v>355</v>
      </c>
      <c r="B391" s="15">
        <v>46049</v>
      </c>
      <c r="C391" t="s">
        <v>690</v>
      </c>
      <c r="D391" s="3" t="s">
        <v>699</v>
      </c>
      <c r="E391" s="2" t="s">
        <v>245</v>
      </c>
      <c r="F391" s="3">
        <v>45982.66778935185</v>
      </c>
      <c r="G391" s="3" t="s">
        <v>723</v>
      </c>
      <c r="H391" t="s">
        <v>760</v>
      </c>
      <c r="I391" t="s">
        <v>703</v>
      </c>
      <c r="J391" s="2" t="s">
        <v>2</v>
      </c>
      <c r="K391" s="2" t="s">
        <v>726</v>
      </c>
      <c r="L391" s="2" t="s">
        <v>80</v>
      </c>
      <c r="M391" s="2" t="s">
        <v>540</v>
      </c>
      <c r="N391" s="2">
        <v>2</v>
      </c>
      <c r="O391" s="2" t="s">
        <v>0</v>
      </c>
      <c r="P391" s="2">
        <v>434873.11</v>
      </c>
      <c r="Q391" s="13">
        <v>869746.22</v>
      </c>
      <c r="R391" t="s">
        <v>757</v>
      </c>
    </row>
    <row r="392" spans="1:18" x14ac:dyDescent="0.3">
      <c r="A392" s="2" t="s">
        <v>356</v>
      </c>
      <c r="B392" s="15">
        <v>46045</v>
      </c>
      <c r="C392" t="s">
        <v>690</v>
      </c>
      <c r="D392" s="3" t="s">
        <v>699</v>
      </c>
      <c r="E392" s="2" t="s">
        <v>72</v>
      </c>
      <c r="F392" s="3">
        <v>46043.347500000003</v>
      </c>
      <c r="G392" s="3" t="s">
        <v>690</v>
      </c>
      <c r="H392" t="s">
        <v>759</v>
      </c>
      <c r="I392" t="s">
        <v>699</v>
      </c>
      <c r="J392" s="2" t="s">
        <v>8</v>
      </c>
      <c r="K392" s="2" t="s">
        <v>726</v>
      </c>
      <c r="L392" s="2" t="s">
        <v>79</v>
      </c>
      <c r="M392" s="2" t="s">
        <v>594</v>
      </c>
      <c r="N392" s="2">
        <v>20</v>
      </c>
      <c r="O392" s="2" t="s">
        <v>0</v>
      </c>
      <c r="P392" s="2">
        <v>9172.9</v>
      </c>
      <c r="Q392" s="13">
        <v>183458</v>
      </c>
      <c r="R392" t="s">
        <v>757</v>
      </c>
    </row>
    <row r="393" spans="1:18" x14ac:dyDescent="0.3">
      <c r="A393" s="2" t="s">
        <v>356</v>
      </c>
      <c r="B393" s="15">
        <v>46045</v>
      </c>
      <c r="C393" t="s">
        <v>690</v>
      </c>
      <c r="D393" s="3" t="s">
        <v>699</v>
      </c>
      <c r="E393" s="2" t="s">
        <v>72</v>
      </c>
      <c r="F393" s="3">
        <v>46043.347500000003</v>
      </c>
      <c r="G393" s="3" t="s">
        <v>690</v>
      </c>
      <c r="H393" t="s">
        <v>759</v>
      </c>
      <c r="I393" t="s">
        <v>699</v>
      </c>
      <c r="J393" s="2" t="s">
        <v>8</v>
      </c>
      <c r="K393" s="2" t="s">
        <v>726</v>
      </c>
      <c r="L393" s="2" t="s">
        <v>79</v>
      </c>
      <c r="M393" s="2" t="s">
        <v>463</v>
      </c>
      <c r="N393" s="2">
        <v>8</v>
      </c>
      <c r="O393" s="2" t="s">
        <v>0</v>
      </c>
      <c r="P393" s="2">
        <v>169991.7</v>
      </c>
      <c r="Q393" s="13">
        <v>1359933.6</v>
      </c>
      <c r="R393" t="s">
        <v>757</v>
      </c>
    </row>
    <row r="394" spans="1:18" x14ac:dyDescent="0.3">
      <c r="A394" s="2" t="s">
        <v>356</v>
      </c>
      <c r="B394" s="15">
        <v>46045</v>
      </c>
      <c r="C394" t="s">
        <v>690</v>
      </c>
      <c r="D394" s="3" t="s">
        <v>699</v>
      </c>
      <c r="E394" s="2" t="s">
        <v>72</v>
      </c>
      <c r="F394" s="3">
        <v>46043.347500000003</v>
      </c>
      <c r="G394" s="3" t="s">
        <v>690</v>
      </c>
      <c r="H394" t="s">
        <v>759</v>
      </c>
      <c r="I394" t="s">
        <v>699</v>
      </c>
      <c r="J394" s="2" t="s">
        <v>8</v>
      </c>
      <c r="K394" s="2" t="s">
        <v>726</v>
      </c>
      <c r="L394" s="2" t="s">
        <v>79</v>
      </c>
      <c r="M394" s="2" t="s">
        <v>390</v>
      </c>
      <c r="N394" s="2">
        <v>2</v>
      </c>
      <c r="O394" s="2" t="s">
        <v>0</v>
      </c>
      <c r="P394" s="2">
        <v>187200</v>
      </c>
      <c r="Q394" s="13">
        <v>374400</v>
      </c>
      <c r="R394" t="s">
        <v>757</v>
      </c>
    </row>
    <row r="395" spans="1:18" x14ac:dyDescent="0.3">
      <c r="A395" s="2" t="s">
        <v>356</v>
      </c>
      <c r="B395" s="15">
        <v>46045</v>
      </c>
      <c r="C395" t="s">
        <v>690</v>
      </c>
      <c r="D395" s="3" t="s">
        <v>699</v>
      </c>
      <c r="E395" s="2" t="s">
        <v>72</v>
      </c>
      <c r="F395" s="3">
        <v>46043.347500000003</v>
      </c>
      <c r="G395" s="3" t="s">
        <v>690</v>
      </c>
      <c r="H395" t="s">
        <v>759</v>
      </c>
      <c r="I395" t="s">
        <v>699</v>
      </c>
      <c r="J395" s="2" t="s">
        <v>1</v>
      </c>
      <c r="K395" s="2" t="s">
        <v>745</v>
      </c>
      <c r="L395" s="2" t="s">
        <v>79</v>
      </c>
      <c r="M395" s="2" t="s">
        <v>516</v>
      </c>
      <c r="N395" s="2">
        <v>16</v>
      </c>
      <c r="O395" s="2" t="s">
        <v>0</v>
      </c>
      <c r="P395" s="2">
        <v>11741.23</v>
      </c>
      <c r="Q395" s="13">
        <v>187859.68</v>
      </c>
      <c r="R395" t="s">
        <v>757</v>
      </c>
    </row>
    <row r="396" spans="1:18" x14ac:dyDescent="0.3">
      <c r="A396" s="2" t="s">
        <v>356</v>
      </c>
      <c r="B396" s="15">
        <v>46045</v>
      </c>
      <c r="C396" t="s">
        <v>690</v>
      </c>
      <c r="D396" s="3" t="s">
        <v>699</v>
      </c>
      <c r="E396" s="2" t="s">
        <v>72</v>
      </c>
      <c r="F396" s="3">
        <v>46043.347500000003</v>
      </c>
      <c r="G396" s="3" t="s">
        <v>690</v>
      </c>
      <c r="H396" t="s">
        <v>759</v>
      </c>
      <c r="I396" t="s">
        <v>699</v>
      </c>
      <c r="J396" s="2" t="s">
        <v>1</v>
      </c>
      <c r="K396" s="2" t="s">
        <v>745</v>
      </c>
      <c r="L396" s="2" t="s">
        <v>89</v>
      </c>
      <c r="M396" s="2" t="s">
        <v>595</v>
      </c>
      <c r="N396" s="2">
        <v>5</v>
      </c>
      <c r="O396" s="2" t="s">
        <v>0</v>
      </c>
      <c r="P396" s="2">
        <v>11374.62</v>
      </c>
      <c r="Q396" s="13">
        <v>56873.100000000006</v>
      </c>
      <c r="R396" t="s">
        <v>757</v>
      </c>
    </row>
    <row r="397" spans="1:18" x14ac:dyDescent="0.3">
      <c r="A397" s="2" t="s">
        <v>357</v>
      </c>
      <c r="B397" s="15">
        <v>46044</v>
      </c>
      <c r="C397" t="s">
        <v>690</v>
      </c>
      <c r="D397" s="3" t="s">
        <v>699</v>
      </c>
      <c r="E397" s="2" t="s">
        <v>258</v>
      </c>
      <c r="F397" s="3">
        <v>45971.610833333332</v>
      </c>
      <c r="G397" s="3" t="s">
        <v>723</v>
      </c>
      <c r="H397" t="s">
        <v>760</v>
      </c>
      <c r="I397" t="s">
        <v>703</v>
      </c>
      <c r="J397" s="2" t="s">
        <v>2</v>
      </c>
      <c r="K397" s="2" t="s">
        <v>726</v>
      </c>
      <c r="L397" s="2" t="s">
        <v>80</v>
      </c>
      <c r="M397" s="2" t="s">
        <v>503</v>
      </c>
      <c r="N397" s="2">
        <v>100</v>
      </c>
      <c r="O397" s="2" t="s">
        <v>0</v>
      </c>
      <c r="P397" s="2">
        <v>810263.53</v>
      </c>
      <c r="Q397" s="13">
        <v>81026353</v>
      </c>
      <c r="R397" t="s">
        <v>757</v>
      </c>
    </row>
    <row r="398" spans="1:18" x14ac:dyDescent="0.3">
      <c r="A398" s="2" t="s">
        <v>358</v>
      </c>
      <c r="B398" s="15">
        <v>46044</v>
      </c>
      <c r="C398" t="s">
        <v>690</v>
      </c>
      <c r="D398" s="3" t="s">
        <v>699</v>
      </c>
      <c r="E398" s="2" t="s">
        <v>77</v>
      </c>
      <c r="F398" s="3">
        <v>46036.354953703703</v>
      </c>
      <c r="G398" s="3" t="s">
        <v>690</v>
      </c>
      <c r="H398" t="s">
        <v>759</v>
      </c>
      <c r="I398" t="s">
        <v>699</v>
      </c>
      <c r="J398" s="2" t="s">
        <v>8</v>
      </c>
      <c r="K398" s="2" t="s">
        <v>726</v>
      </c>
      <c r="L398" s="2" t="s">
        <v>79</v>
      </c>
      <c r="M398" s="2" t="s">
        <v>394</v>
      </c>
      <c r="N398" s="2">
        <v>1</v>
      </c>
      <c r="O398" s="2" t="s">
        <v>0</v>
      </c>
      <c r="P398" s="2">
        <v>33326.89</v>
      </c>
      <c r="Q398" s="13">
        <v>33326.89</v>
      </c>
      <c r="R398" t="s">
        <v>757</v>
      </c>
    </row>
    <row r="399" spans="1:18" x14ac:dyDescent="0.3">
      <c r="A399" s="2" t="s">
        <v>359</v>
      </c>
      <c r="B399" s="15">
        <v>46044</v>
      </c>
      <c r="C399" t="s">
        <v>690</v>
      </c>
      <c r="D399" s="3" t="s">
        <v>699</v>
      </c>
      <c r="E399" s="2" t="s">
        <v>360</v>
      </c>
      <c r="F399" s="3">
        <v>46010.673773148148</v>
      </c>
      <c r="G399" s="3" t="s">
        <v>724</v>
      </c>
      <c r="H399" t="s">
        <v>760</v>
      </c>
      <c r="I399" t="s">
        <v>703</v>
      </c>
      <c r="J399" s="2" t="s">
        <v>1</v>
      </c>
      <c r="K399" s="2" t="s">
        <v>745</v>
      </c>
      <c r="L399" s="2" t="s">
        <v>89</v>
      </c>
      <c r="M399" s="2" t="s">
        <v>538</v>
      </c>
      <c r="N399" s="2">
        <v>20</v>
      </c>
      <c r="O399" s="2" t="s">
        <v>0</v>
      </c>
      <c r="P399" s="2">
        <v>26186.3</v>
      </c>
      <c r="Q399" s="13">
        <v>523726</v>
      </c>
      <c r="R399" t="s">
        <v>757</v>
      </c>
    </row>
    <row r="400" spans="1:18" x14ac:dyDescent="0.3">
      <c r="A400" s="2" t="s">
        <v>359</v>
      </c>
      <c r="B400" s="15">
        <v>46044</v>
      </c>
      <c r="C400" t="s">
        <v>690</v>
      </c>
      <c r="D400" s="3" t="s">
        <v>699</v>
      </c>
      <c r="E400" s="2" t="s">
        <v>360</v>
      </c>
      <c r="F400" s="3">
        <v>46010.673773148148</v>
      </c>
      <c r="G400" s="3" t="s">
        <v>724</v>
      </c>
      <c r="H400" t="s">
        <v>760</v>
      </c>
      <c r="I400" t="s">
        <v>703</v>
      </c>
      <c r="J400" s="2" t="s">
        <v>1</v>
      </c>
      <c r="K400" s="2" t="s">
        <v>745</v>
      </c>
      <c r="L400" s="2" t="s">
        <v>89</v>
      </c>
      <c r="M400" s="2" t="s">
        <v>441</v>
      </c>
      <c r="N400" s="2">
        <v>20</v>
      </c>
      <c r="O400" s="2" t="s">
        <v>0</v>
      </c>
      <c r="P400" s="2">
        <v>11012.27</v>
      </c>
      <c r="Q400" s="13">
        <v>220245.40000000002</v>
      </c>
      <c r="R400" t="s">
        <v>757</v>
      </c>
    </row>
    <row r="401" spans="1:18" x14ac:dyDescent="0.3">
      <c r="A401" s="2" t="s">
        <v>359</v>
      </c>
      <c r="B401" s="15">
        <v>46044</v>
      </c>
      <c r="C401" t="s">
        <v>690</v>
      </c>
      <c r="D401" s="3" t="s">
        <v>699</v>
      </c>
      <c r="E401" s="2" t="s">
        <v>360</v>
      </c>
      <c r="F401" s="3">
        <v>46010.673773148148</v>
      </c>
      <c r="G401" s="3" t="s">
        <v>724</v>
      </c>
      <c r="H401" t="s">
        <v>760</v>
      </c>
      <c r="I401" t="s">
        <v>703</v>
      </c>
      <c r="J401" s="2" t="s">
        <v>1</v>
      </c>
      <c r="K401" s="2" t="s">
        <v>745</v>
      </c>
      <c r="L401" s="2" t="s">
        <v>79</v>
      </c>
      <c r="M401" s="2" t="s">
        <v>576</v>
      </c>
      <c r="N401" s="2">
        <v>20</v>
      </c>
      <c r="O401" s="2" t="s">
        <v>0</v>
      </c>
      <c r="P401" s="2">
        <v>19630.55</v>
      </c>
      <c r="Q401" s="13">
        <v>392611</v>
      </c>
      <c r="R401" t="s">
        <v>757</v>
      </c>
    </row>
    <row r="402" spans="1:18" x14ac:dyDescent="0.3">
      <c r="A402" s="2" t="s">
        <v>361</v>
      </c>
      <c r="B402" s="15">
        <v>46044</v>
      </c>
      <c r="C402" t="s">
        <v>690</v>
      </c>
      <c r="D402" s="3" t="s">
        <v>699</v>
      </c>
      <c r="E402" s="2" t="s">
        <v>236</v>
      </c>
      <c r="F402" s="3">
        <v>46008.42564814815</v>
      </c>
      <c r="G402" s="3" t="s">
        <v>724</v>
      </c>
      <c r="H402" t="s">
        <v>760</v>
      </c>
      <c r="I402" t="s">
        <v>703</v>
      </c>
      <c r="J402" s="2" t="s">
        <v>8</v>
      </c>
      <c r="K402" s="2" t="s">
        <v>726</v>
      </c>
      <c r="L402" s="2" t="s">
        <v>84</v>
      </c>
      <c r="M402" s="2" t="s">
        <v>517</v>
      </c>
      <c r="N402" s="2">
        <v>2</v>
      </c>
      <c r="O402" s="2" t="s">
        <v>0</v>
      </c>
      <c r="P402" s="2">
        <v>47804.2</v>
      </c>
      <c r="Q402" s="13">
        <v>95608.4</v>
      </c>
      <c r="R402" t="s">
        <v>757</v>
      </c>
    </row>
    <row r="403" spans="1:18" x14ac:dyDescent="0.3">
      <c r="A403" s="2" t="s">
        <v>362</v>
      </c>
      <c r="B403" s="15">
        <v>46044</v>
      </c>
      <c r="C403" t="s">
        <v>690</v>
      </c>
      <c r="D403" s="3" t="s">
        <v>699</v>
      </c>
      <c r="E403" s="2" t="s">
        <v>297</v>
      </c>
      <c r="F403" s="3">
        <v>45996.635023148148</v>
      </c>
      <c r="G403" s="3" t="s">
        <v>724</v>
      </c>
      <c r="H403" t="s">
        <v>760</v>
      </c>
      <c r="I403" t="s">
        <v>703</v>
      </c>
      <c r="J403" s="2" t="s">
        <v>2</v>
      </c>
      <c r="K403" s="2" t="s">
        <v>726</v>
      </c>
      <c r="L403" s="2" t="s">
        <v>80</v>
      </c>
      <c r="M403" s="2" t="s">
        <v>596</v>
      </c>
      <c r="N403" s="2">
        <v>2</v>
      </c>
      <c r="O403" s="2" t="s">
        <v>0</v>
      </c>
      <c r="P403" s="2">
        <v>849628.15</v>
      </c>
      <c r="Q403" s="13">
        <v>1699256.3</v>
      </c>
      <c r="R403" t="s">
        <v>757</v>
      </c>
    </row>
    <row r="404" spans="1:18" x14ac:dyDescent="0.3">
      <c r="A404" s="2" t="s">
        <v>363</v>
      </c>
      <c r="B404" s="15">
        <v>46044</v>
      </c>
      <c r="C404" t="s">
        <v>690</v>
      </c>
      <c r="D404" s="3" t="s">
        <v>699</v>
      </c>
      <c r="E404" s="2" t="s">
        <v>364</v>
      </c>
      <c r="F404" s="3">
        <v>45996.430567129632</v>
      </c>
      <c r="G404" s="3" t="s">
        <v>724</v>
      </c>
      <c r="H404" t="s">
        <v>760</v>
      </c>
      <c r="I404" t="s">
        <v>703</v>
      </c>
      <c r="J404" s="2" t="s">
        <v>2</v>
      </c>
      <c r="K404" s="2" t="s">
        <v>726</v>
      </c>
      <c r="L404" s="2" t="s">
        <v>80</v>
      </c>
      <c r="M404" s="2" t="s">
        <v>486</v>
      </c>
      <c r="N404" s="2">
        <v>31</v>
      </c>
      <c r="O404" s="2" t="s">
        <v>0</v>
      </c>
      <c r="P404" s="2">
        <v>871300.16</v>
      </c>
      <c r="Q404" s="13">
        <v>27010304.960000001</v>
      </c>
      <c r="R404" t="s">
        <v>757</v>
      </c>
    </row>
    <row r="405" spans="1:18" x14ac:dyDescent="0.3">
      <c r="A405" s="2" t="s">
        <v>365</v>
      </c>
      <c r="B405" s="15">
        <v>46044</v>
      </c>
      <c r="C405" t="s">
        <v>690</v>
      </c>
      <c r="D405" s="3" t="s">
        <v>699</v>
      </c>
      <c r="E405" s="2" t="s">
        <v>366</v>
      </c>
      <c r="F405" s="3">
        <v>46044.480347222219</v>
      </c>
      <c r="G405" s="3" t="s">
        <v>690</v>
      </c>
      <c r="H405" t="s">
        <v>759</v>
      </c>
      <c r="I405" t="s">
        <v>699</v>
      </c>
      <c r="J405" s="2" t="s">
        <v>8</v>
      </c>
      <c r="K405" s="2" t="s">
        <v>726</v>
      </c>
      <c r="L405" s="2" t="s">
        <v>80</v>
      </c>
      <c r="M405" s="2" t="s">
        <v>593</v>
      </c>
      <c r="N405" s="2">
        <v>1</v>
      </c>
      <c r="O405" s="2" t="s">
        <v>0</v>
      </c>
      <c r="P405" s="2">
        <v>14184453.779999999</v>
      </c>
      <c r="Q405" s="13">
        <v>14184453.779999999</v>
      </c>
      <c r="R405" t="s">
        <v>757</v>
      </c>
    </row>
    <row r="406" spans="1:18" x14ac:dyDescent="0.3">
      <c r="A406" s="2" t="s">
        <v>367</v>
      </c>
      <c r="B406" s="15">
        <v>46044</v>
      </c>
      <c r="C406" t="s">
        <v>690</v>
      </c>
      <c r="D406" s="3" t="s">
        <v>699</v>
      </c>
      <c r="E406" s="2" t="s">
        <v>261</v>
      </c>
      <c r="F406" s="3">
        <v>45986.674178240741</v>
      </c>
      <c r="G406" s="3" t="s">
        <v>723</v>
      </c>
      <c r="H406" t="s">
        <v>760</v>
      </c>
      <c r="I406" t="s">
        <v>703</v>
      </c>
      <c r="J406" s="2" t="s">
        <v>2</v>
      </c>
      <c r="K406" s="2" t="s">
        <v>726</v>
      </c>
      <c r="L406" s="2" t="s">
        <v>80</v>
      </c>
      <c r="M406" s="2" t="s">
        <v>562</v>
      </c>
      <c r="N406" s="2">
        <v>5</v>
      </c>
      <c r="O406" s="2" t="s">
        <v>0</v>
      </c>
      <c r="P406" s="2">
        <v>1791332.94</v>
      </c>
      <c r="Q406" s="13">
        <v>8956664.6999999993</v>
      </c>
      <c r="R406" t="s">
        <v>757</v>
      </c>
    </row>
    <row r="407" spans="1:18" x14ac:dyDescent="0.3">
      <c r="A407" s="2" t="s">
        <v>368</v>
      </c>
      <c r="B407" s="15">
        <v>46044</v>
      </c>
      <c r="C407" t="s">
        <v>690</v>
      </c>
      <c r="D407" s="3" t="s">
        <v>699</v>
      </c>
      <c r="E407" s="2" t="s">
        <v>266</v>
      </c>
      <c r="F407" s="3">
        <v>45980.758263888893</v>
      </c>
      <c r="J407" s="2" t="s">
        <v>2</v>
      </c>
      <c r="K407" s="2" t="s">
        <v>726</v>
      </c>
      <c r="L407" s="2" t="s">
        <v>80</v>
      </c>
      <c r="M407" s="2" t="s">
        <v>562</v>
      </c>
      <c r="N407" s="2">
        <v>7</v>
      </c>
      <c r="P407" s="2">
        <v>1791333.01</v>
      </c>
      <c r="Q407" s="13">
        <v>12539331.07</v>
      </c>
      <c r="R407" t="s">
        <v>757</v>
      </c>
    </row>
    <row r="408" spans="1:18" x14ac:dyDescent="0.3">
      <c r="A408" s="2" t="s">
        <v>369</v>
      </c>
      <c r="B408" s="15">
        <v>46044</v>
      </c>
      <c r="C408" t="s">
        <v>690</v>
      </c>
      <c r="D408" s="3" t="s">
        <v>699</v>
      </c>
      <c r="E408" s="2" t="s">
        <v>245</v>
      </c>
      <c r="F408" s="3">
        <v>45982.66778935185</v>
      </c>
      <c r="J408" s="2" t="s">
        <v>2</v>
      </c>
      <c r="K408" s="2" t="s">
        <v>726</v>
      </c>
      <c r="L408" s="2" t="s">
        <v>80</v>
      </c>
      <c r="M408" s="2" t="s">
        <v>562</v>
      </c>
      <c r="N408" s="2">
        <v>4</v>
      </c>
      <c r="P408" s="2">
        <v>2239166.1800000002</v>
      </c>
      <c r="Q408" s="13">
        <v>8956664.7200000007</v>
      </c>
      <c r="R408" t="s">
        <v>757</v>
      </c>
    </row>
    <row r="409" spans="1:18" x14ac:dyDescent="0.3">
      <c r="A409" s="2" t="s">
        <v>370</v>
      </c>
      <c r="B409" s="15">
        <v>46044</v>
      </c>
      <c r="C409" t="s">
        <v>690</v>
      </c>
      <c r="D409" s="3" t="s">
        <v>699</v>
      </c>
      <c r="E409" s="2" t="s">
        <v>371</v>
      </c>
      <c r="F409" s="3">
        <v>45982.671365740738</v>
      </c>
      <c r="J409" s="2" t="s">
        <v>8</v>
      </c>
      <c r="K409" s="2" t="s">
        <v>726</v>
      </c>
      <c r="L409" s="2" t="s">
        <v>90</v>
      </c>
      <c r="M409" s="2" t="s">
        <v>597</v>
      </c>
      <c r="N409" s="2">
        <v>24</v>
      </c>
      <c r="P409" s="2">
        <v>26947.62</v>
      </c>
      <c r="Q409" s="13">
        <v>646742.88</v>
      </c>
      <c r="R409" t="s">
        <v>757</v>
      </c>
    </row>
    <row r="410" spans="1:18" x14ac:dyDescent="0.3">
      <c r="A410" s="2" t="s">
        <v>372</v>
      </c>
      <c r="B410" s="15">
        <v>46044</v>
      </c>
      <c r="C410" t="s">
        <v>690</v>
      </c>
      <c r="D410" s="3" t="s">
        <v>699</v>
      </c>
      <c r="E410" s="2" t="s">
        <v>261</v>
      </c>
      <c r="F410" s="3">
        <v>45986.674178240741</v>
      </c>
      <c r="J410" s="2" t="s">
        <v>2</v>
      </c>
      <c r="K410" s="2" t="s">
        <v>726</v>
      </c>
      <c r="L410" s="2" t="s">
        <v>80</v>
      </c>
      <c r="M410" s="2" t="s">
        <v>449</v>
      </c>
      <c r="N410" s="2">
        <v>2</v>
      </c>
      <c r="P410" s="2">
        <v>1166721.43</v>
      </c>
      <c r="Q410" s="13">
        <v>2333442.86</v>
      </c>
      <c r="R410" t="s">
        <v>757</v>
      </c>
    </row>
    <row r="411" spans="1:18" x14ac:dyDescent="0.3">
      <c r="A411" s="2" t="s">
        <v>373</v>
      </c>
      <c r="B411" s="15">
        <v>46044</v>
      </c>
      <c r="C411" t="s">
        <v>690</v>
      </c>
      <c r="D411" s="3" t="s">
        <v>699</v>
      </c>
      <c r="E411" s="2" t="s">
        <v>241</v>
      </c>
      <c r="F411" s="3">
        <v>45980.757326388892</v>
      </c>
      <c r="J411" s="2" t="s">
        <v>2</v>
      </c>
      <c r="K411" s="2" t="s">
        <v>726</v>
      </c>
      <c r="L411" s="2" t="s">
        <v>80</v>
      </c>
      <c r="M411" s="2" t="s">
        <v>561</v>
      </c>
      <c r="N411" s="2">
        <v>8</v>
      </c>
      <c r="P411" s="2">
        <v>961993.59</v>
      </c>
      <c r="Q411" s="13">
        <v>7695948.7199999997</v>
      </c>
      <c r="R411" t="s">
        <v>757</v>
      </c>
    </row>
    <row r="412" spans="1:18" x14ac:dyDescent="0.3">
      <c r="A412" s="2" t="s">
        <v>374</v>
      </c>
      <c r="B412" s="15">
        <v>46044</v>
      </c>
      <c r="C412" t="s">
        <v>690</v>
      </c>
      <c r="D412" s="3" t="s">
        <v>699</v>
      </c>
      <c r="E412" s="2" t="s">
        <v>266</v>
      </c>
      <c r="F412" s="3">
        <v>45980.758263888893</v>
      </c>
      <c r="J412" s="2" t="s">
        <v>2</v>
      </c>
      <c r="K412" s="2" t="s">
        <v>726</v>
      </c>
      <c r="L412" s="2" t="s">
        <v>80</v>
      </c>
      <c r="M412" s="2" t="s">
        <v>503</v>
      </c>
      <c r="N412" s="2">
        <v>25</v>
      </c>
      <c r="P412" s="2">
        <v>1182282.02</v>
      </c>
      <c r="Q412" s="13">
        <v>29557050.5</v>
      </c>
      <c r="R412" t="s">
        <v>757</v>
      </c>
    </row>
    <row r="413" spans="1:18" x14ac:dyDescent="0.3">
      <c r="A413" s="2" t="s">
        <v>375</v>
      </c>
      <c r="B413" s="15">
        <v>46044</v>
      </c>
      <c r="C413" t="s">
        <v>690</v>
      </c>
      <c r="D413" s="3" t="s">
        <v>699</v>
      </c>
      <c r="E413" s="2" t="s">
        <v>245</v>
      </c>
      <c r="F413" s="3">
        <v>45982.66778935185</v>
      </c>
      <c r="J413" s="2" t="s">
        <v>2</v>
      </c>
      <c r="K413" s="2" t="s">
        <v>726</v>
      </c>
      <c r="L413" s="2" t="s">
        <v>80</v>
      </c>
      <c r="M413" s="2" t="s">
        <v>561</v>
      </c>
      <c r="N413" s="2">
        <v>7</v>
      </c>
      <c r="P413" s="2">
        <v>1073021.73</v>
      </c>
      <c r="Q413" s="13">
        <v>7511152.1099999994</v>
      </c>
      <c r="R413" t="s">
        <v>757</v>
      </c>
    </row>
    <row r="414" spans="1:18" x14ac:dyDescent="0.3">
      <c r="A414" s="2" t="s">
        <v>376</v>
      </c>
      <c r="B414" s="15">
        <v>46044</v>
      </c>
      <c r="C414" t="s">
        <v>690</v>
      </c>
      <c r="D414" s="3" t="s">
        <v>699</v>
      </c>
      <c r="E414" s="2" t="s">
        <v>377</v>
      </c>
      <c r="F414" s="3">
        <v>45981.608113425929</v>
      </c>
      <c r="J414" s="2" t="s">
        <v>8</v>
      </c>
      <c r="K414" s="2" t="s">
        <v>726</v>
      </c>
      <c r="L414" s="2" t="s">
        <v>606</v>
      </c>
      <c r="M414" s="2" t="s">
        <v>598</v>
      </c>
      <c r="N414" s="2">
        <v>8</v>
      </c>
      <c r="P414" s="2">
        <v>100251.89</v>
      </c>
      <c r="Q414" s="13">
        <v>802015.12</v>
      </c>
      <c r="R414" t="s">
        <v>757</v>
      </c>
    </row>
    <row r="415" spans="1:18" x14ac:dyDescent="0.3">
      <c r="A415" s="2" t="s">
        <v>378</v>
      </c>
      <c r="B415" s="15">
        <v>46044</v>
      </c>
      <c r="C415" t="s">
        <v>690</v>
      </c>
      <c r="D415" s="3" t="s">
        <v>699</v>
      </c>
      <c r="E415" s="2" t="s">
        <v>379</v>
      </c>
      <c r="F415" s="3">
        <v>45974.63144675926</v>
      </c>
      <c r="J415" s="2" t="s">
        <v>8</v>
      </c>
      <c r="K415" s="2" t="s">
        <v>726</v>
      </c>
      <c r="L415" s="2" t="s">
        <v>606</v>
      </c>
      <c r="M415" s="2" t="s">
        <v>598</v>
      </c>
      <c r="N415" s="2">
        <v>16</v>
      </c>
      <c r="P415" s="2">
        <v>103968.8</v>
      </c>
      <c r="Q415" s="13">
        <v>1663500.8</v>
      </c>
      <c r="R415" t="s">
        <v>757</v>
      </c>
    </row>
    <row r="416" spans="1:18" x14ac:dyDescent="0.3">
      <c r="A416" s="2" t="s">
        <v>380</v>
      </c>
      <c r="B416" s="15">
        <v>46044</v>
      </c>
      <c r="C416" t="s">
        <v>690</v>
      </c>
      <c r="D416" s="3" t="s">
        <v>699</v>
      </c>
      <c r="E416" s="2" t="s">
        <v>268</v>
      </c>
      <c r="F416" s="3">
        <v>45894.428784722222</v>
      </c>
      <c r="J416" s="2" t="s">
        <v>2</v>
      </c>
      <c r="K416" s="2" t="s">
        <v>726</v>
      </c>
      <c r="L416" s="2" t="s">
        <v>80</v>
      </c>
      <c r="M416" s="2" t="s">
        <v>503</v>
      </c>
      <c r="N416" s="2">
        <v>5</v>
      </c>
      <c r="P416" s="2">
        <v>853910.92</v>
      </c>
      <c r="Q416" s="13">
        <v>4269554.6000000006</v>
      </c>
      <c r="R416" t="s">
        <v>757</v>
      </c>
    </row>
    <row r="417" spans="1:18" x14ac:dyDescent="0.3">
      <c r="A417" s="2" t="s">
        <v>381</v>
      </c>
      <c r="B417" s="15">
        <v>46044</v>
      </c>
      <c r="C417" t="s">
        <v>690</v>
      </c>
      <c r="D417" s="3" t="s">
        <v>699</v>
      </c>
      <c r="E417" s="2" t="s">
        <v>268</v>
      </c>
      <c r="F417" s="3">
        <v>45894.428784722222</v>
      </c>
      <c r="J417" s="2" t="s">
        <v>2</v>
      </c>
      <c r="K417" s="2" t="s">
        <v>726</v>
      </c>
      <c r="L417" s="2" t="s">
        <v>80</v>
      </c>
      <c r="M417" s="2" t="s">
        <v>503</v>
      </c>
      <c r="N417" s="2">
        <v>1</v>
      </c>
      <c r="P417" s="2">
        <v>853910.92</v>
      </c>
      <c r="Q417" s="13">
        <v>853910.92</v>
      </c>
      <c r="R417" t="s">
        <v>757</v>
      </c>
    </row>
    <row r="418" spans="1:18" x14ac:dyDescent="0.3">
      <c r="A418" s="2" t="s">
        <v>382</v>
      </c>
      <c r="B418" s="15">
        <v>46044</v>
      </c>
      <c r="C418" t="s">
        <v>690</v>
      </c>
      <c r="D418" s="3" t="s">
        <v>699</v>
      </c>
      <c r="E418" s="2" t="s">
        <v>269</v>
      </c>
      <c r="F418" s="3">
        <v>45908.528958333343</v>
      </c>
      <c r="J418" s="2" t="s">
        <v>2</v>
      </c>
      <c r="K418" s="2" t="s">
        <v>726</v>
      </c>
      <c r="L418" s="2" t="s">
        <v>80</v>
      </c>
      <c r="M418" s="2" t="s">
        <v>503</v>
      </c>
      <c r="N418" s="2">
        <v>15</v>
      </c>
      <c r="P418" s="2">
        <v>753918.04</v>
      </c>
      <c r="Q418" s="13">
        <v>11308770.600000001</v>
      </c>
      <c r="R418" t="s">
        <v>757</v>
      </c>
    </row>
    <row r="419" spans="1:18" x14ac:dyDescent="0.3">
      <c r="A419" s="2" t="s">
        <v>383</v>
      </c>
      <c r="B419" s="15">
        <v>46043</v>
      </c>
      <c r="C419" t="s">
        <v>690</v>
      </c>
      <c r="D419" s="3" t="s">
        <v>699</v>
      </c>
      <c r="E419" s="2" t="s">
        <v>330</v>
      </c>
      <c r="F419" s="3">
        <v>45967.471250000002</v>
      </c>
      <c r="J419" s="2" t="s">
        <v>8</v>
      </c>
      <c r="K419" s="2" t="s">
        <v>726</v>
      </c>
      <c r="L419" s="2" t="s">
        <v>83</v>
      </c>
      <c r="M419" s="2" t="s">
        <v>599</v>
      </c>
      <c r="N419" s="2">
        <v>12</v>
      </c>
      <c r="P419" s="2">
        <v>143961.76</v>
      </c>
      <c r="Q419" s="13">
        <v>1727541.12</v>
      </c>
      <c r="R419" t="s">
        <v>757</v>
      </c>
    </row>
    <row r="420" spans="1:18" x14ac:dyDescent="0.3">
      <c r="A420" s="2" t="s">
        <v>383</v>
      </c>
      <c r="B420" s="15">
        <v>46043</v>
      </c>
      <c r="C420" t="s">
        <v>690</v>
      </c>
      <c r="D420" s="3" t="s">
        <v>699</v>
      </c>
      <c r="E420" s="2" t="s">
        <v>330</v>
      </c>
      <c r="F420" s="3">
        <v>45967.471250000002</v>
      </c>
      <c r="J420" s="2" t="s">
        <v>8</v>
      </c>
      <c r="K420" s="2" t="s">
        <v>726</v>
      </c>
      <c r="L420" s="2" t="s">
        <v>83</v>
      </c>
      <c r="M420" s="2" t="s">
        <v>599</v>
      </c>
      <c r="N420" s="2">
        <v>30</v>
      </c>
      <c r="P420" s="2">
        <v>124991.15</v>
      </c>
      <c r="Q420" s="13">
        <v>3749734.5</v>
      </c>
      <c r="R420" t="s">
        <v>757</v>
      </c>
    </row>
    <row r="421" spans="1:18" x14ac:dyDescent="0.3">
      <c r="A421" s="2" t="s">
        <v>384</v>
      </c>
      <c r="B421" s="15">
        <v>46037</v>
      </c>
      <c r="C421" t="s">
        <v>690</v>
      </c>
      <c r="D421" s="3" t="s">
        <v>699</v>
      </c>
      <c r="E421" s="2"/>
      <c r="F421" s="2"/>
      <c r="J421" s="2" t="s">
        <v>8</v>
      </c>
      <c r="K421" s="2" t="s">
        <v>726</v>
      </c>
      <c r="L421" s="2" t="s">
        <v>7</v>
      </c>
      <c r="M421" s="2" t="s">
        <v>600</v>
      </c>
      <c r="N421" s="2">
        <v>1</v>
      </c>
      <c r="P421" s="2">
        <v>33184999.16</v>
      </c>
      <c r="Q421" s="13">
        <v>33184999.16</v>
      </c>
      <c r="R421" t="s">
        <v>757</v>
      </c>
    </row>
    <row r="422" spans="1:18" x14ac:dyDescent="0.3">
      <c r="A422" s="2" t="s">
        <v>385</v>
      </c>
      <c r="B422" s="15">
        <v>46037</v>
      </c>
      <c r="C422" t="s">
        <v>690</v>
      </c>
      <c r="D422" s="3" t="s">
        <v>699</v>
      </c>
      <c r="E422" s="2" t="s">
        <v>386</v>
      </c>
      <c r="F422" s="3">
        <v>45968.382418981477</v>
      </c>
      <c r="J422" s="2" t="s">
        <v>8</v>
      </c>
      <c r="K422" s="2" t="s">
        <v>726</v>
      </c>
      <c r="L422" s="2" t="s">
        <v>79</v>
      </c>
      <c r="M422" s="2" t="s">
        <v>601</v>
      </c>
      <c r="N422" s="2">
        <v>2</v>
      </c>
      <c r="P422" s="2">
        <v>541458.81999999995</v>
      </c>
      <c r="Q422" s="13">
        <v>1082917.6399999999</v>
      </c>
      <c r="R422" t="s">
        <v>757</v>
      </c>
    </row>
    <row r="423" spans="1:18" x14ac:dyDescent="0.3">
      <c r="A423" s="2" t="s">
        <v>387</v>
      </c>
      <c r="B423" s="15">
        <v>46031</v>
      </c>
      <c r="C423" t="s">
        <v>690</v>
      </c>
      <c r="D423" s="3" t="s">
        <v>699</v>
      </c>
      <c r="E423" s="2"/>
      <c r="J423" s="2" t="s">
        <v>2</v>
      </c>
      <c r="K423" s="2" t="s">
        <v>726</v>
      </c>
      <c r="L423" s="2" t="s">
        <v>80</v>
      </c>
      <c r="M423" s="2" t="s">
        <v>486</v>
      </c>
      <c r="N423" s="2">
        <v>30</v>
      </c>
      <c r="P423" s="2">
        <v>693770.39</v>
      </c>
      <c r="Q423" s="13">
        <v>20813111.699999999</v>
      </c>
      <c r="R423" t="s">
        <v>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1E48-13C5-491A-B75E-C4A10644989A}">
  <sheetPr filterMode="1"/>
  <dimension ref="A1:P395"/>
  <sheetViews>
    <sheetView topLeftCell="A33" workbookViewId="0">
      <selection activeCell="A51" sqref="A51"/>
    </sheetView>
  </sheetViews>
  <sheetFormatPr baseColWidth="10" defaultColWidth="9.109375" defaultRowHeight="14.4" x14ac:dyDescent="0.3"/>
  <cols>
    <col min="2" max="2" width="10.33203125" customWidth="1"/>
    <col min="3" max="3" width="18.109375" bestFit="1" customWidth="1"/>
    <col min="4" max="4" width="12.6640625" bestFit="1" customWidth="1"/>
    <col min="5" max="5" width="16.109375" customWidth="1"/>
    <col min="6" max="6" width="27.6640625" customWidth="1"/>
    <col min="7" max="7" width="34.44140625" bestFit="1" customWidth="1"/>
    <col min="8" max="8" width="19.44140625" bestFit="1" customWidth="1"/>
    <col min="9" max="9" width="30.6640625" customWidth="1"/>
    <col min="10" max="10" width="20" customWidth="1"/>
    <col min="11" max="11" width="8.44140625" bestFit="1" customWidth="1"/>
    <col min="12" max="12" width="14.33203125" bestFit="1" customWidth="1"/>
    <col min="13" max="13" width="16.6640625" style="10" bestFit="1" customWidth="1"/>
    <col min="14" max="14" width="16.6640625" style="11" bestFit="1" customWidth="1"/>
    <col min="15" max="15" width="16.6640625" style="11" customWidth="1"/>
    <col min="16" max="16" width="15.44140625" customWidth="1"/>
  </cols>
  <sheetData>
    <row r="1" spans="1:16" x14ac:dyDescent="0.3">
      <c r="A1" t="s">
        <v>684</v>
      </c>
      <c r="B1" s="1" t="s">
        <v>11</v>
      </c>
      <c r="C1" s="1" t="s">
        <v>607</v>
      </c>
      <c r="D1" s="12" t="s">
        <v>687</v>
      </c>
      <c r="E1" s="6" t="s">
        <v>3</v>
      </c>
      <c r="F1" s="1" t="s">
        <v>93</v>
      </c>
      <c r="G1" s="1" t="s">
        <v>602</v>
      </c>
      <c r="H1" s="1" t="s">
        <v>603</v>
      </c>
      <c r="I1" s="1" t="s">
        <v>608</v>
      </c>
      <c r="J1" s="1" t="s">
        <v>609</v>
      </c>
      <c r="K1" s="1" t="s">
        <v>610</v>
      </c>
      <c r="L1" s="1" t="s">
        <v>611</v>
      </c>
      <c r="M1" s="8" t="s">
        <v>4</v>
      </c>
      <c r="N1" s="7" t="s">
        <v>688</v>
      </c>
      <c r="O1" s="7" t="s">
        <v>761</v>
      </c>
      <c r="P1" s="36">
        <v>3306.86</v>
      </c>
    </row>
    <row r="2" spans="1:16" ht="16.2" x14ac:dyDescent="0.45">
      <c r="A2" s="2" t="s">
        <v>747</v>
      </c>
      <c r="B2" s="2" t="s">
        <v>748</v>
      </c>
      <c r="C2" s="3">
        <v>46279.475682870368</v>
      </c>
      <c r="D2" t="s">
        <v>721</v>
      </c>
      <c r="E2" s="3" t="s">
        <v>702</v>
      </c>
      <c r="F2" s="2" t="s">
        <v>1</v>
      </c>
      <c r="G2" s="2" t="s">
        <v>6</v>
      </c>
      <c r="H2" s="2" t="s">
        <v>6</v>
      </c>
      <c r="I2" s="2" t="s">
        <v>752</v>
      </c>
      <c r="J2" s="2">
        <v>3</v>
      </c>
      <c r="K2" s="2" t="s">
        <v>0</v>
      </c>
      <c r="L2" s="2">
        <v>2307294</v>
      </c>
      <c r="M2" s="13">
        <v>6921882</v>
      </c>
      <c r="N2" s="14">
        <v>6921882</v>
      </c>
      <c r="O2" s="37"/>
      <c r="P2" s="9"/>
    </row>
    <row r="3" spans="1:16" hidden="1" x14ac:dyDescent="0.3">
      <c r="A3" s="2" t="s">
        <v>747</v>
      </c>
      <c r="B3" s="2" t="s">
        <v>749</v>
      </c>
      <c r="C3" s="3">
        <v>46274.657222222217</v>
      </c>
      <c r="D3" t="s">
        <v>721</v>
      </c>
      <c r="E3" s="3" t="s">
        <v>702</v>
      </c>
      <c r="F3" s="2" t="s">
        <v>8</v>
      </c>
      <c r="G3" s="2" t="s">
        <v>726</v>
      </c>
      <c r="H3" s="2" t="s">
        <v>79</v>
      </c>
      <c r="I3" s="2" t="s">
        <v>470</v>
      </c>
      <c r="J3" s="2">
        <v>176</v>
      </c>
      <c r="K3" s="2" t="s">
        <v>10</v>
      </c>
      <c r="L3" s="2">
        <v>48</v>
      </c>
      <c r="M3" s="13">
        <v>8448</v>
      </c>
      <c r="N3" s="14">
        <v>27936353.280000001</v>
      </c>
      <c r="O3" s="14"/>
    </row>
    <row r="4" spans="1:16" hidden="1" x14ac:dyDescent="0.3">
      <c r="A4" s="2" t="s">
        <v>747</v>
      </c>
      <c r="B4" s="2" t="s">
        <v>749</v>
      </c>
      <c r="C4" s="3">
        <v>46274.657222222217</v>
      </c>
      <c r="D4" t="s">
        <v>721</v>
      </c>
      <c r="E4" s="3" t="s">
        <v>702</v>
      </c>
      <c r="F4" s="2" t="s">
        <v>8</v>
      </c>
      <c r="G4" s="2" t="s">
        <v>726</v>
      </c>
      <c r="H4" s="2" t="s">
        <v>88</v>
      </c>
      <c r="I4" s="2" t="s">
        <v>753</v>
      </c>
      <c r="J4" s="2">
        <v>14</v>
      </c>
      <c r="K4" s="2" t="s">
        <v>10</v>
      </c>
      <c r="L4" s="2">
        <v>300</v>
      </c>
      <c r="M4" s="13">
        <v>4200</v>
      </c>
      <c r="N4" s="14">
        <v>13888812</v>
      </c>
      <c r="O4" s="14"/>
      <c r="P4" s="9"/>
    </row>
    <row r="5" spans="1:16" x14ac:dyDescent="0.3">
      <c r="A5" s="2" t="s">
        <v>747</v>
      </c>
      <c r="B5" s="2" t="s">
        <v>744</v>
      </c>
      <c r="C5" s="3">
        <v>46269.629629629628</v>
      </c>
      <c r="D5" t="s">
        <v>721</v>
      </c>
      <c r="E5" s="3" t="s">
        <v>702</v>
      </c>
      <c r="F5" s="2" t="s">
        <v>1</v>
      </c>
      <c r="G5" s="2" t="s">
        <v>6</v>
      </c>
      <c r="H5" s="2" t="s">
        <v>6</v>
      </c>
      <c r="I5" s="2" t="s">
        <v>746</v>
      </c>
      <c r="J5" s="2">
        <v>1</v>
      </c>
      <c r="K5" s="2" t="s">
        <v>0</v>
      </c>
      <c r="L5" s="2">
        <v>1810630.25</v>
      </c>
      <c r="M5" s="13">
        <v>1810630.25</v>
      </c>
      <c r="N5" s="14">
        <v>1810630.25</v>
      </c>
      <c r="O5" s="14"/>
    </row>
    <row r="6" spans="1:16" hidden="1" x14ac:dyDescent="0.3">
      <c r="A6" s="2" t="s">
        <v>747</v>
      </c>
      <c r="B6" s="2" t="s">
        <v>750</v>
      </c>
      <c r="C6" s="3">
        <v>46268.640520833331</v>
      </c>
      <c r="D6" t="s">
        <v>721</v>
      </c>
      <c r="E6" s="3" t="s">
        <v>702</v>
      </c>
      <c r="F6" s="2" t="s">
        <v>8</v>
      </c>
      <c r="G6" s="2" t="s">
        <v>726</v>
      </c>
      <c r="H6" s="2" t="s">
        <v>83</v>
      </c>
      <c r="I6" s="2" t="s">
        <v>754</v>
      </c>
      <c r="J6" s="2">
        <v>177</v>
      </c>
      <c r="K6" s="2" t="s">
        <v>10</v>
      </c>
      <c r="L6" s="2">
        <v>5.42</v>
      </c>
      <c r="M6" s="13">
        <v>959.34</v>
      </c>
      <c r="N6" s="14">
        <v>3172403.0724000004</v>
      </c>
      <c r="O6" s="14"/>
    </row>
    <row r="7" spans="1:16" hidden="1" x14ac:dyDescent="0.3">
      <c r="A7" s="2" t="s">
        <v>747</v>
      </c>
      <c r="B7" s="2" t="s">
        <v>612</v>
      </c>
      <c r="C7" s="3">
        <v>46261.585914351846</v>
      </c>
      <c r="D7" t="s">
        <v>720</v>
      </c>
      <c r="E7" s="3" t="s">
        <v>702</v>
      </c>
      <c r="F7" s="2" t="s">
        <v>8</v>
      </c>
      <c r="G7" s="2" t="s">
        <v>726</v>
      </c>
      <c r="H7" s="2" t="s">
        <v>79</v>
      </c>
      <c r="I7" s="2" t="s">
        <v>617</v>
      </c>
      <c r="J7" s="2">
        <v>5</v>
      </c>
      <c r="K7" s="2" t="s">
        <v>10</v>
      </c>
      <c r="L7" s="2">
        <v>97.06</v>
      </c>
      <c r="M7" s="13">
        <v>485.3</v>
      </c>
      <c r="N7" s="14">
        <v>1604819.1580000001</v>
      </c>
      <c r="O7" s="14"/>
      <c r="P7" s="9"/>
    </row>
    <row r="8" spans="1:16" x14ac:dyDescent="0.3">
      <c r="A8" s="2" t="s">
        <v>747</v>
      </c>
      <c r="B8" s="2" t="s">
        <v>613</v>
      </c>
      <c r="C8" s="3">
        <v>46260.44672453704</v>
      </c>
      <c r="D8" t="s">
        <v>720</v>
      </c>
      <c r="E8" s="3" t="s">
        <v>702</v>
      </c>
      <c r="F8" s="2" t="s">
        <v>1</v>
      </c>
      <c r="G8" s="2" t="s">
        <v>6</v>
      </c>
      <c r="H8" s="2" t="s">
        <v>6</v>
      </c>
      <c r="I8" s="2" t="s">
        <v>618</v>
      </c>
      <c r="J8" s="2">
        <v>1</v>
      </c>
      <c r="K8" s="2" t="s">
        <v>0</v>
      </c>
      <c r="L8" s="2">
        <v>860931</v>
      </c>
      <c r="M8" s="13">
        <v>860931</v>
      </c>
      <c r="N8" s="14">
        <v>860931</v>
      </c>
      <c r="O8" s="14"/>
      <c r="P8" s="9"/>
    </row>
    <row r="9" spans="1:16" x14ac:dyDescent="0.3">
      <c r="A9" s="2" t="s">
        <v>747</v>
      </c>
      <c r="B9" s="2" t="s">
        <v>613</v>
      </c>
      <c r="C9" s="3">
        <v>46260.44672453704</v>
      </c>
      <c r="D9" t="s">
        <v>720</v>
      </c>
      <c r="E9" s="3" t="s">
        <v>702</v>
      </c>
      <c r="F9" s="2" t="s">
        <v>1</v>
      </c>
      <c r="G9" s="2" t="s">
        <v>6</v>
      </c>
      <c r="H9" s="2" t="s">
        <v>6</v>
      </c>
      <c r="I9" s="2" t="s">
        <v>619</v>
      </c>
      <c r="J9" s="2">
        <v>9</v>
      </c>
      <c r="K9" s="2" t="s">
        <v>0</v>
      </c>
      <c r="L9" s="2">
        <v>1924320</v>
      </c>
      <c r="M9" s="13">
        <v>17318880</v>
      </c>
      <c r="N9" s="14">
        <v>17318880</v>
      </c>
      <c r="O9" s="14"/>
      <c r="P9" s="9"/>
    </row>
    <row r="10" spans="1:16" x14ac:dyDescent="0.3">
      <c r="A10" s="2" t="s">
        <v>747</v>
      </c>
      <c r="B10" s="2" t="s">
        <v>613</v>
      </c>
      <c r="C10" s="3">
        <v>46260.44672453704</v>
      </c>
      <c r="D10" t="s">
        <v>720</v>
      </c>
      <c r="E10" s="3" t="s">
        <v>702</v>
      </c>
      <c r="F10" s="2" t="s">
        <v>1</v>
      </c>
      <c r="G10" s="2" t="s">
        <v>6</v>
      </c>
      <c r="H10" s="2" t="s">
        <v>6</v>
      </c>
      <c r="I10" s="2" t="s">
        <v>620</v>
      </c>
      <c r="J10" s="2">
        <v>3</v>
      </c>
      <c r="K10" s="2" t="s">
        <v>0</v>
      </c>
      <c r="L10" s="2">
        <v>1036830</v>
      </c>
      <c r="M10" s="13">
        <v>3110490</v>
      </c>
      <c r="N10" s="14">
        <v>3110490</v>
      </c>
      <c r="O10" s="14"/>
      <c r="P10" s="9"/>
    </row>
    <row r="11" spans="1:16" x14ac:dyDescent="0.3">
      <c r="A11" s="2" t="s">
        <v>747</v>
      </c>
      <c r="B11" s="2" t="s">
        <v>613</v>
      </c>
      <c r="C11" s="3">
        <v>46260.44672453704</v>
      </c>
      <c r="D11" t="s">
        <v>720</v>
      </c>
      <c r="E11" s="3" t="s">
        <v>702</v>
      </c>
      <c r="F11" s="2" t="s">
        <v>1</v>
      </c>
      <c r="G11" s="2" t="s">
        <v>6</v>
      </c>
      <c r="H11" s="2" t="s">
        <v>6</v>
      </c>
      <c r="I11" s="2" t="s">
        <v>621</v>
      </c>
      <c r="J11" s="2">
        <v>65</v>
      </c>
      <c r="K11" s="2" t="s">
        <v>0</v>
      </c>
      <c r="L11" s="2">
        <v>2347260</v>
      </c>
      <c r="M11" s="13">
        <v>152571900</v>
      </c>
      <c r="N11" s="14">
        <v>152571900</v>
      </c>
      <c r="O11" s="14"/>
    </row>
    <row r="12" spans="1:16" x14ac:dyDescent="0.3">
      <c r="A12" s="2" t="s">
        <v>747</v>
      </c>
      <c r="B12" s="2" t="s">
        <v>613</v>
      </c>
      <c r="C12" s="3">
        <v>46260.44672453704</v>
      </c>
      <c r="D12" t="s">
        <v>720</v>
      </c>
      <c r="E12" s="3" t="s">
        <v>702</v>
      </c>
      <c r="F12" s="2" t="s">
        <v>1</v>
      </c>
      <c r="G12" s="2" t="s">
        <v>6</v>
      </c>
      <c r="H12" s="2" t="s">
        <v>6</v>
      </c>
      <c r="I12" s="2" t="s">
        <v>622</v>
      </c>
      <c r="J12" s="2">
        <v>7</v>
      </c>
      <c r="K12" s="2" t="s">
        <v>0</v>
      </c>
      <c r="L12" s="2">
        <v>1413600</v>
      </c>
      <c r="M12" s="13">
        <v>9895200</v>
      </c>
      <c r="N12" s="14">
        <v>9895200</v>
      </c>
      <c r="O12" s="14"/>
    </row>
    <row r="13" spans="1:16" x14ac:dyDescent="0.3">
      <c r="A13" s="2" t="s">
        <v>747</v>
      </c>
      <c r="B13" s="2" t="s">
        <v>613</v>
      </c>
      <c r="C13" s="3">
        <v>46260.44672453704</v>
      </c>
      <c r="D13" t="s">
        <v>720</v>
      </c>
      <c r="E13" s="3" t="s">
        <v>702</v>
      </c>
      <c r="F13" s="2" t="s">
        <v>1</v>
      </c>
      <c r="G13" s="2" t="s">
        <v>6</v>
      </c>
      <c r="H13" s="2" t="s">
        <v>6</v>
      </c>
      <c r="I13" s="2" t="s">
        <v>623</v>
      </c>
      <c r="J13" s="2">
        <v>11</v>
      </c>
      <c r="K13" s="2" t="s">
        <v>0</v>
      </c>
      <c r="L13" s="2">
        <v>1244310</v>
      </c>
      <c r="M13" s="13">
        <v>13687410</v>
      </c>
      <c r="N13" s="14">
        <v>13687410</v>
      </c>
      <c r="O13" s="14"/>
    </row>
    <row r="14" spans="1:16" x14ac:dyDescent="0.3">
      <c r="A14" s="2" t="s">
        <v>747</v>
      </c>
      <c r="B14" s="2" t="s">
        <v>613</v>
      </c>
      <c r="C14" s="3">
        <v>46260.44672453704</v>
      </c>
      <c r="D14" t="s">
        <v>720</v>
      </c>
      <c r="E14" s="3" t="s">
        <v>702</v>
      </c>
      <c r="F14" s="2" t="s">
        <v>1</v>
      </c>
      <c r="G14" s="2" t="s">
        <v>6</v>
      </c>
      <c r="H14" s="2" t="s">
        <v>6</v>
      </c>
      <c r="I14" s="2" t="s">
        <v>624</v>
      </c>
      <c r="J14" s="2">
        <v>7</v>
      </c>
      <c r="K14" s="2" t="s">
        <v>0</v>
      </c>
      <c r="L14" s="2">
        <v>1338930</v>
      </c>
      <c r="M14" s="13">
        <v>9372510</v>
      </c>
      <c r="N14" s="14">
        <v>9372510</v>
      </c>
      <c r="O14" s="14"/>
    </row>
    <row r="15" spans="1:16" x14ac:dyDescent="0.3">
      <c r="A15" s="2" t="s">
        <v>747</v>
      </c>
      <c r="B15" s="2" t="s">
        <v>613</v>
      </c>
      <c r="C15" s="3">
        <v>46260.44672453704</v>
      </c>
      <c r="D15" t="s">
        <v>720</v>
      </c>
      <c r="E15" s="3" t="s">
        <v>702</v>
      </c>
      <c r="F15" s="2" t="s">
        <v>1</v>
      </c>
      <c r="G15" s="2" t="s">
        <v>6</v>
      </c>
      <c r="H15" s="2" t="s">
        <v>6</v>
      </c>
      <c r="I15" s="2" t="s">
        <v>625</v>
      </c>
      <c r="J15" s="2">
        <v>3</v>
      </c>
      <c r="K15" s="2" t="s">
        <v>0</v>
      </c>
      <c r="L15" s="2">
        <v>2346120</v>
      </c>
      <c r="M15" s="13">
        <v>7038360</v>
      </c>
      <c r="N15" s="14">
        <v>7038360</v>
      </c>
      <c r="O15" s="14"/>
    </row>
    <row r="16" spans="1:16" x14ac:dyDescent="0.3">
      <c r="A16" s="2" t="s">
        <v>747</v>
      </c>
      <c r="B16" s="2" t="s">
        <v>613</v>
      </c>
      <c r="C16" s="3">
        <v>46260.44672453704</v>
      </c>
      <c r="D16" t="s">
        <v>720</v>
      </c>
      <c r="E16" s="3" t="s">
        <v>702</v>
      </c>
      <c r="F16" s="2" t="s">
        <v>1</v>
      </c>
      <c r="G16" s="2" t="s">
        <v>6</v>
      </c>
      <c r="H16" s="2" t="s">
        <v>6</v>
      </c>
      <c r="I16" s="2" t="s">
        <v>626</v>
      </c>
      <c r="J16" s="2">
        <v>2</v>
      </c>
      <c r="K16" s="2" t="s">
        <v>0</v>
      </c>
      <c r="L16" s="2">
        <v>1036830</v>
      </c>
      <c r="M16" s="13">
        <v>2073660</v>
      </c>
      <c r="N16" s="14">
        <v>2073660</v>
      </c>
      <c r="O16" s="14"/>
    </row>
    <row r="17" spans="1:16" x14ac:dyDescent="0.3">
      <c r="A17" s="2" t="s">
        <v>747</v>
      </c>
      <c r="B17" s="2" t="s">
        <v>613</v>
      </c>
      <c r="C17" s="3">
        <v>46260.44672453704</v>
      </c>
      <c r="D17" t="s">
        <v>720</v>
      </c>
      <c r="E17" s="3" t="s">
        <v>702</v>
      </c>
      <c r="F17" s="2" t="s">
        <v>1</v>
      </c>
      <c r="G17" s="2" t="s">
        <v>6</v>
      </c>
      <c r="H17" s="2" t="s">
        <v>6</v>
      </c>
      <c r="I17" s="2" t="s">
        <v>627</v>
      </c>
      <c r="J17" s="2">
        <v>127</v>
      </c>
      <c r="K17" s="2" t="s">
        <v>0</v>
      </c>
      <c r="L17" s="2">
        <v>1</v>
      </c>
      <c r="M17" s="13">
        <v>127</v>
      </c>
      <c r="N17" s="14">
        <v>127</v>
      </c>
      <c r="O17" s="14"/>
    </row>
    <row r="18" spans="1:16" x14ac:dyDescent="0.3">
      <c r="A18" s="2" t="s">
        <v>747</v>
      </c>
      <c r="B18" s="2" t="s">
        <v>613</v>
      </c>
      <c r="C18" s="3">
        <v>46260.44672453704</v>
      </c>
      <c r="D18" t="s">
        <v>720</v>
      </c>
      <c r="E18" s="3" t="s">
        <v>702</v>
      </c>
      <c r="F18" s="2" t="s">
        <v>1</v>
      </c>
      <c r="G18" s="2" t="s">
        <v>6</v>
      </c>
      <c r="H18" s="2" t="s">
        <v>6</v>
      </c>
      <c r="I18" s="2" t="s">
        <v>628</v>
      </c>
      <c r="J18" s="2">
        <v>2</v>
      </c>
      <c r="K18" s="2" t="s">
        <v>0</v>
      </c>
      <c r="L18" s="2">
        <v>3303854</v>
      </c>
      <c r="M18" s="13">
        <v>6607708</v>
      </c>
      <c r="N18" s="14">
        <v>6607708</v>
      </c>
      <c r="O18" s="14"/>
      <c r="P18" s="9"/>
    </row>
    <row r="19" spans="1:16" x14ac:dyDescent="0.3">
      <c r="A19" s="2" t="s">
        <v>747</v>
      </c>
      <c r="B19" s="2" t="s">
        <v>613</v>
      </c>
      <c r="C19" s="3">
        <v>46260.44672453704</v>
      </c>
      <c r="D19" t="s">
        <v>720</v>
      </c>
      <c r="E19" s="3" t="s">
        <v>702</v>
      </c>
      <c r="F19" s="2" t="s">
        <v>1</v>
      </c>
      <c r="G19" s="2" t="s">
        <v>6</v>
      </c>
      <c r="H19" s="2" t="s">
        <v>6</v>
      </c>
      <c r="I19" s="2" t="s">
        <v>629</v>
      </c>
      <c r="J19" s="2">
        <v>1</v>
      </c>
      <c r="K19" s="2" t="s">
        <v>0</v>
      </c>
      <c r="L19" s="2">
        <v>1716270</v>
      </c>
      <c r="M19" s="13">
        <v>1716270</v>
      </c>
      <c r="N19" s="14">
        <v>1716270</v>
      </c>
      <c r="O19" s="14"/>
      <c r="P19" s="9"/>
    </row>
    <row r="20" spans="1:16" x14ac:dyDescent="0.3">
      <c r="A20" s="2" t="s">
        <v>747</v>
      </c>
      <c r="B20" s="2" t="s">
        <v>613</v>
      </c>
      <c r="C20" s="3">
        <v>46260.44672453704</v>
      </c>
      <c r="D20" t="s">
        <v>720</v>
      </c>
      <c r="E20" s="3" t="s">
        <v>702</v>
      </c>
      <c r="F20" s="2" t="s">
        <v>1</v>
      </c>
      <c r="G20" s="2" t="s">
        <v>6</v>
      </c>
      <c r="H20" s="2" t="s">
        <v>6</v>
      </c>
      <c r="I20" s="2" t="s">
        <v>630</v>
      </c>
      <c r="J20" s="2">
        <v>6</v>
      </c>
      <c r="K20" s="2" t="s">
        <v>0</v>
      </c>
      <c r="L20" s="2">
        <v>1618800</v>
      </c>
      <c r="M20" s="13">
        <v>9712800</v>
      </c>
      <c r="N20" s="14">
        <v>9712800</v>
      </c>
      <c r="O20" s="14"/>
      <c r="P20" s="9"/>
    </row>
    <row r="21" spans="1:16" x14ac:dyDescent="0.3">
      <c r="A21" s="2" t="s">
        <v>747</v>
      </c>
      <c r="B21" s="2" t="s">
        <v>613</v>
      </c>
      <c r="C21" s="3">
        <v>46260.44672453704</v>
      </c>
      <c r="D21" t="s">
        <v>720</v>
      </c>
      <c r="E21" s="3" t="s">
        <v>702</v>
      </c>
      <c r="F21" s="2" t="s">
        <v>1</v>
      </c>
      <c r="G21" s="2" t="s">
        <v>6</v>
      </c>
      <c r="H21" s="2" t="s">
        <v>6</v>
      </c>
      <c r="I21" s="2" t="s">
        <v>631</v>
      </c>
      <c r="J21" s="2">
        <v>2</v>
      </c>
      <c r="K21" s="2" t="s">
        <v>0</v>
      </c>
      <c r="L21" s="2">
        <v>2560104</v>
      </c>
      <c r="M21" s="13">
        <v>5120208</v>
      </c>
      <c r="N21" s="14">
        <v>5120208</v>
      </c>
      <c r="O21" s="14"/>
      <c r="P21" s="9"/>
    </row>
    <row r="22" spans="1:16" x14ac:dyDescent="0.3">
      <c r="A22" s="2" t="s">
        <v>747</v>
      </c>
      <c r="B22" s="2" t="s">
        <v>613</v>
      </c>
      <c r="C22" s="3">
        <v>46260.44672453704</v>
      </c>
      <c r="D22" t="s">
        <v>720</v>
      </c>
      <c r="E22" s="3" t="s">
        <v>702</v>
      </c>
      <c r="F22" s="2" t="s">
        <v>1</v>
      </c>
      <c r="G22" s="2" t="s">
        <v>6</v>
      </c>
      <c r="H22" s="2" t="s">
        <v>6</v>
      </c>
      <c r="I22" s="2" t="s">
        <v>632</v>
      </c>
      <c r="J22" s="2">
        <v>2</v>
      </c>
      <c r="K22" s="2" t="s">
        <v>0</v>
      </c>
      <c r="L22" s="2">
        <v>2560104</v>
      </c>
      <c r="M22" s="13">
        <v>5120208</v>
      </c>
      <c r="N22" s="14">
        <v>5120208</v>
      </c>
      <c r="O22" s="14"/>
      <c r="P22" s="9"/>
    </row>
    <row r="23" spans="1:16" x14ac:dyDescent="0.3">
      <c r="A23" s="2" t="s">
        <v>747</v>
      </c>
      <c r="B23" s="2" t="s">
        <v>613</v>
      </c>
      <c r="C23" s="3">
        <v>46260.44672453704</v>
      </c>
      <c r="D23" t="s">
        <v>720</v>
      </c>
      <c r="E23" s="3" t="s">
        <v>702</v>
      </c>
      <c r="F23" s="2" t="s">
        <v>1</v>
      </c>
      <c r="G23" s="2" t="s">
        <v>6</v>
      </c>
      <c r="H23" s="2" t="s">
        <v>6</v>
      </c>
      <c r="I23" s="2" t="s">
        <v>633</v>
      </c>
      <c r="J23" s="2">
        <v>1</v>
      </c>
      <c r="K23" s="2" t="s">
        <v>0</v>
      </c>
      <c r="L23" s="2">
        <v>2303379</v>
      </c>
      <c r="M23" s="13">
        <v>2303379</v>
      </c>
      <c r="N23" s="14">
        <v>2303379</v>
      </c>
      <c r="O23" s="14"/>
      <c r="P23" s="9"/>
    </row>
    <row r="24" spans="1:16" x14ac:dyDescent="0.3">
      <c r="A24" s="2" t="s">
        <v>747</v>
      </c>
      <c r="B24" s="2" t="s">
        <v>613</v>
      </c>
      <c r="C24" s="3">
        <v>46260.44672453704</v>
      </c>
      <c r="D24" t="s">
        <v>720</v>
      </c>
      <c r="E24" s="3" t="s">
        <v>702</v>
      </c>
      <c r="F24" s="2" t="s">
        <v>1</v>
      </c>
      <c r="G24" s="2" t="s">
        <v>6</v>
      </c>
      <c r="H24" s="2" t="s">
        <v>6</v>
      </c>
      <c r="I24" s="2" t="s">
        <v>634</v>
      </c>
      <c r="J24" s="2">
        <v>1</v>
      </c>
      <c r="K24" s="2" t="s">
        <v>0</v>
      </c>
      <c r="L24" s="2">
        <v>2303379</v>
      </c>
      <c r="M24" s="13">
        <v>2303379</v>
      </c>
      <c r="N24" s="14">
        <v>2303379</v>
      </c>
      <c r="O24" s="14"/>
      <c r="P24" s="9"/>
    </row>
    <row r="25" spans="1:16" x14ac:dyDescent="0.3">
      <c r="A25" s="2" t="s">
        <v>747</v>
      </c>
      <c r="B25" s="2" t="s">
        <v>613</v>
      </c>
      <c r="C25" s="3">
        <v>46260.44672453704</v>
      </c>
      <c r="D25" t="s">
        <v>720</v>
      </c>
      <c r="E25" s="3" t="s">
        <v>702</v>
      </c>
      <c r="F25" s="2" t="s">
        <v>1</v>
      </c>
      <c r="G25" s="2" t="s">
        <v>6</v>
      </c>
      <c r="H25" s="2" t="s">
        <v>6</v>
      </c>
      <c r="I25" s="2" t="s">
        <v>635</v>
      </c>
      <c r="J25" s="2">
        <v>1</v>
      </c>
      <c r="K25" s="2" t="s">
        <v>0</v>
      </c>
      <c r="L25" s="2">
        <v>3303854</v>
      </c>
      <c r="M25" s="13">
        <v>3303854</v>
      </c>
      <c r="N25" s="14">
        <v>3303854</v>
      </c>
      <c r="O25" s="14"/>
      <c r="P25" s="9"/>
    </row>
    <row r="26" spans="1:16" x14ac:dyDescent="0.3">
      <c r="A26" s="2" t="s">
        <v>747</v>
      </c>
      <c r="B26" s="2" t="s">
        <v>613</v>
      </c>
      <c r="C26" s="3">
        <v>46260.44672453704</v>
      </c>
      <c r="D26" t="s">
        <v>720</v>
      </c>
      <c r="E26" s="3" t="s">
        <v>702</v>
      </c>
      <c r="F26" s="2" t="s">
        <v>1</v>
      </c>
      <c r="G26" s="2" t="s">
        <v>6</v>
      </c>
      <c r="H26" s="2" t="s">
        <v>6</v>
      </c>
      <c r="I26" s="2" t="s">
        <v>636</v>
      </c>
      <c r="J26" s="2">
        <v>1</v>
      </c>
      <c r="K26" s="2" t="s">
        <v>0</v>
      </c>
      <c r="L26" s="2">
        <v>1786380</v>
      </c>
      <c r="M26" s="13">
        <v>1786380</v>
      </c>
      <c r="N26" s="14">
        <v>1786380</v>
      </c>
      <c r="O26" s="14"/>
      <c r="P26" s="9"/>
    </row>
    <row r="27" spans="1:16" hidden="1" x14ac:dyDescent="0.3">
      <c r="A27" s="2" t="s">
        <v>747</v>
      </c>
      <c r="B27" s="2" t="s">
        <v>613</v>
      </c>
      <c r="C27" s="3">
        <v>46260.44672453704</v>
      </c>
      <c r="D27" t="s">
        <v>720</v>
      </c>
      <c r="E27" s="3" t="s">
        <v>702</v>
      </c>
      <c r="F27" s="2" t="s">
        <v>1</v>
      </c>
      <c r="G27" s="2" t="s">
        <v>1</v>
      </c>
      <c r="H27" s="2"/>
      <c r="I27" s="2" t="s">
        <v>755</v>
      </c>
      <c r="J27" s="2">
        <v>1</v>
      </c>
      <c r="K27" s="2" t="s">
        <v>0</v>
      </c>
      <c r="L27" s="2">
        <v>0</v>
      </c>
      <c r="M27" s="13">
        <v>0</v>
      </c>
      <c r="N27" s="14">
        <v>0</v>
      </c>
      <c r="O27" s="14"/>
      <c r="P27" s="9"/>
    </row>
    <row r="28" spans="1:16" x14ac:dyDescent="0.3">
      <c r="A28" s="2" t="s">
        <v>747</v>
      </c>
      <c r="B28" s="2" t="s">
        <v>613</v>
      </c>
      <c r="C28" s="3">
        <v>46260.44672453704</v>
      </c>
      <c r="D28" t="s">
        <v>720</v>
      </c>
      <c r="E28" s="3" t="s">
        <v>702</v>
      </c>
      <c r="F28" s="2" t="s">
        <v>1</v>
      </c>
      <c r="G28" s="2" t="s">
        <v>6</v>
      </c>
      <c r="H28" s="2" t="s">
        <v>6</v>
      </c>
      <c r="I28" s="2" t="s">
        <v>637</v>
      </c>
      <c r="J28" s="2">
        <v>1</v>
      </c>
      <c r="K28" s="2" t="s">
        <v>0</v>
      </c>
      <c r="L28" s="2">
        <v>0</v>
      </c>
      <c r="M28" s="13">
        <v>0</v>
      </c>
      <c r="N28" s="14">
        <v>0</v>
      </c>
      <c r="O28" s="14"/>
      <c r="P28" s="9"/>
    </row>
    <row r="29" spans="1:16" x14ac:dyDescent="0.3">
      <c r="A29" s="2" t="s">
        <v>747</v>
      </c>
      <c r="B29" s="2" t="s">
        <v>613</v>
      </c>
      <c r="C29" s="3">
        <v>46260.44672453704</v>
      </c>
      <c r="D29" t="s">
        <v>720</v>
      </c>
      <c r="E29" s="3" t="s">
        <v>702</v>
      </c>
      <c r="F29" s="2" t="s">
        <v>1</v>
      </c>
      <c r="G29" s="2" t="s">
        <v>6</v>
      </c>
      <c r="H29" s="2" t="s">
        <v>6</v>
      </c>
      <c r="I29" s="2" t="s">
        <v>638</v>
      </c>
      <c r="J29" s="2">
        <v>1</v>
      </c>
      <c r="K29" s="2" t="s">
        <v>0</v>
      </c>
      <c r="L29" s="2">
        <v>897700</v>
      </c>
      <c r="M29" s="13">
        <v>897700</v>
      </c>
      <c r="N29" s="14">
        <v>897700</v>
      </c>
      <c r="O29" s="14"/>
      <c r="P29" s="9"/>
    </row>
    <row r="30" spans="1:16" x14ac:dyDescent="0.3">
      <c r="A30" s="2" t="s">
        <v>747</v>
      </c>
      <c r="B30" s="2" t="s">
        <v>613</v>
      </c>
      <c r="C30" s="3">
        <v>46260.44672453704</v>
      </c>
      <c r="D30" t="s">
        <v>720</v>
      </c>
      <c r="E30" s="3" t="s">
        <v>702</v>
      </c>
      <c r="F30" s="2" t="s">
        <v>1</v>
      </c>
      <c r="G30" s="2" t="s">
        <v>6</v>
      </c>
      <c r="H30" s="2" t="s">
        <v>6</v>
      </c>
      <c r="I30" s="2" t="s">
        <v>639</v>
      </c>
      <c r="J30" s="2">
        <v>1</v>
      </c>
      <c r="K30" s="2" t="s">
        <v>0</v>
      </c>
      <c r="L30" s="2">
        <v>4846642</v>
      </c>
      <c r="M30" s="13">
        <v>4846642</v>
      </c>
      <c r="N30" s="14">
        <v>4846642</v>
      </c>
      <c r="O30" s="14"/>
      <c r="P30" s="9"/>
    </row>
    <row r="31" spans="1:16" x14ac:dyDescent="0.3">
      <c r="A31" s="2" t="s">
        <v>747</v>
      </c>
      <c r="B31" s="2" t="s">
        <v>613</v>
      </c>
      <c r="C31" s="3">
        <v>46260.44672453704</v>
      </c>
      <c r="D31" t="s">
        <v>720</v>
      </c>
      <c r="E31" s="3" t="s">
        <v>702</v>
      </c>
      <c r="F31" s="2" t="s">
        <v>1</v>
      </c>
      <c r="G31" s="2" t="s">
        <v>6</v>
      </c>
      <c r="H31" s="2" t="s">
        <v>6</v>
      </c>
      <c r="I31" s="2" t="s">
        <v>640</v>
      </c>
      <c r="J31" s="2">
        <v>1</v>
      </c>
      <c r="K31" s="2" t="s">
        <v>0</v>
      </c>
      <c r="L31" s="2">
        <v>1354320</v>
      </c>
      <c r="M31" s="13">
        <v>1354320</v>
      </c>
      <c r="N31" s="14">
        <v>1354320</v>
      </c>
      <c r="O31" s="14"/>
      <c r="P31" s="9"/>
    </row>
    <row r="32" spans="1:16" x14ac:dyDescent="0.3">
      <c r="A32" s="2" t="s">
        <v>747</v>
      </c>
      <c r="B32" s="2" t="s">
        <v>613</v>
      </c>
      <c r="C32" s="3">
        <v>46260.44672453704</v>
      </c>
      <c r="D32" t="s">
        <v>720</v>
      </c>
      <c r="E32" s="3" t="s">
        <v>702</v>
      </c>
      <c r="F32" s="2" t="s">
        <v>1</v>
      </c>
      <c r="G32" s="2" t="s">
        <v>6</v>
      </c>
      <c r="H32" s="2" t="s">
        <v>6</v>
      </c>
      <c r="I32" s="2" t="s">
        <v>641</v>
      </c>
      <c r="J32" s="2">
        <v>1</v>
      </c>
      <c r="K32" s="2" t="s">
        <v>0</v>
      </c>
      <c r="L32" s="2">
        <v>1162800</v>
      </c>
      <c r="M32" s="13">
        <v>1162800</v>
      </c>
      <c r="N32" s="14">
        <v>1162800</v>
      </c>
      <c r="O32" s="14"/>
      <c r="P32" s="9"/>
    </row>
    <row r="33" spans="1:16" x14ac:dyDescent="0.3">
      <c r="A33" s="2" t="s">
        <v>747</v>
      </c>
      <c r="B33" s="2" t="s">
        <v>613</v>
      </c>
      <c r="C33" s="3">
        <v>46260.44672453704</v>
      </c>
      <c r="D33" t="s">
        <v>720</v>
      </c>
      <c r="E33" s="3" t="s">
        <v>702</v>
      </c>
      <c r="F33" s="2" t="s">
        <v>1</v>
      </c>
      <c r="G33" s="2" t="s">
        <v>6</v>
      </c>
      <c r="H33" s="2" t="s">
        <v>6</v>
      </c>
      <c r="I33" s="2" t="s">
        <v>642</v>
      </c>
      <c r="J33" s="2">
        <v>1</v>
      </c>
      <c r="K33" s="2" t="s">
        <v>0</v>
      </c>
      <c r="L33" s="2">
        <v>1217400</v>
      </c>
      <c r="M33" s="13">
        <v>1217400</v>
      </c>
      <c r="N33" s="14">
        <v>1217400</v>
      </c>
      <c r="O33" s="14"/>
      <c r="P33" s="9"/>
    </row>
    <row r="34" spans="1:16" x14ac:dyDescent="0.3">
      <c r="A34" s="2" t="s">
        <v>747</v>
      </c>
      <c r="B34" s="2" t="s">
        <v>613</v>
      </c>
      <c r="C34" s="3">
        <v>46260.44672453704</v>
      </c>
      <c r="D34" t="s">
        <v>720</v>
      </c>
      <c r="E34" s="3" t="s">
        <v>702</v>
      </c>
      <c r="F34" s="2" t="s">
        <v>1</v>
      </c>
      <c r="G34" s="2" t="s">
        <v>6</v>
      </c>
      <c r="H34" s="2" t="s">
        <v>6</v>
      </c>
      <c r="I34" s="2" t="s">
        <v>643</v>
      </c>
      <c r="J34" s="2">
        <v>3</v>
      </c>
      <c r="K34" s="2" t="s">
        <v>0</v>
      </c>
      <c r="L34" s="2">
        <v>97356</v>
      </c>
      <c r="M34" s="13">
        <v>292068</v>
      </c>
      <c r="N34" s="14">
        <v>292068</v>
      </c>
      <c r="O34" s="14"/>
      <c r="P34" s="9"/>
    </row>
    <row r="35" spans="1:16" x14ac:dyDescent="0.3">
      <c r="A35" s="2" t="s">
        <v>747</v>
      </c>
      <c r="B35" s="2" t="s">
        <v>613</v>
      </c>
      <c r="C35" s="3">
        <v>46260.44672453704</v>
      </c>
      <c r="D35" t="s">
        <v>720</v>
      </c>
      <c r="E35" s="3" t="s">
        <v>702</v>
      </c>
      <c r="F35" s="2" t="s">
        <v>1</v>
      </c>
      <c r="G35" s="2" t="s">
        <v>6</v>
      </c>
      <c r="H35" s="2" t="s">
        <v>6</v>
      </c>
      <c r="I35" s="2" t="s">
        <v>644</v>
      </c>
      <c r="J35" s="2">
        <v>1</v>
      </c>
      <c r="K35" s="2" t="s">
        <v>0</v>
      </c>
      <c r="L35" s="2">
        <v>1777445</v>
      </c>
      <c r="M35" s="13">
        <v>1777445</v>
      </c>
      <c r="N35" s="14">
        <v>1777445</v>
      </c>
      <c r="O35" s="14"/>
      <c r="P35" s="9"/>
    </row>
    <row r="36" spans="1:16" x14ac:dyDescent="0.3">
      <c r="A36" s="2" t="s">
        <v>747</v>
      </c>
      <c r="B36" s="2" t="s">
        <v>613</v>
      </c>
      <c r="C36" s="3">
        <v>46260.44672453704</v>
      </c>
      <c r="D36" t="s">
        <v>720</v>
      </c>
      <c r="E36" s="3" t="s">
        <v>702</v>
      </c>
      <c r="F36" s="2" t="s">
        <v>1</v>
      </c>
      <c r="G36" s="2" t="s">
        <v>6</v>
      </c>
      <c r="H36" s="2" t="s">
        <v>6</v>
      </c>
      <c r="I36" s="2" t="s">
        <v>645</v>
      </c>
      <c r="J36" s="2">
        <v>70</v>
      </c>
      <c r="K36" s="2" t="s">
        <v>0</v>
      </c>
      <c r="L36" s="2">
        <v>601853</v>
      </c>
      <c r="M36" s="13">
        <v>42129710</v>
      </c>
      <c r="N36" s="14">
        <v>42129710</v>
      </c>
      <c r="O36" s="14"/>
      <c r="P36" s="9"/>
    </row>
    <row r="37" spans="1:16" x14ac:dyDescent="0.3">
      <c r="A37" s="2" t="s">
        <v>747</v>
      </c>
      <c r="B37" s="2" t="s">
        <v>613</v>
      </c>
      <c r="C37" s="3">
        <v>46260.44672453704</v>
      </c>
      <c r="D37" t="s">
        <v>720</v>
      </c>
      <c r="E37" s="3" t="s">
        <v>702</v>
      </c>
      <c r="F37" s="2" t="s">
        <v>1</v>
      </c>
      <c r="G37" s="2" t="s">
        <v>6</v>
      </c>
      <c r="H37" s="2" t="s">
        <v>6</v>
      </c>
      <c r="I37" s="2" t="s">
        <v>646</v>
      </c>
      <c r="J37" s="2">
        <v>1</v>
      </c>
      <c r="K37" s="2" t="s">
        <v>0</v>
      </c>
      <c r="L37" s="2">
        <v>629557</v>
      </c>
      <c r="M37" s="13">
        <v>629557</v>
      </c>
      <c r="N37" s="14">
        <v>629557</v>
      </c>
      <c r="O37" s="14"/>
      <c r="P37" s="9"/>
    </row>
    <row r="38" spans="1:16" x14ac:dyDescent="0.3">
      <c r="A38" s="2" t="s">
        <v>747</v>
      </c>
      <c r="B38" s="2" t="s">
        <v>613</v>
      </c>
      <c r="C38" s="3">
        <v>46260.44672453704</v>
      </c>
      <c r="D38" t="s">
        <v>720</v>
      </c>
      <c r="E38" s="3" t="s">
        <v>702</v>
      </c>
      <c r="F38" s="2" t="s">
        <v>1</v>
      </c>
      <c r="G38" s="2" t="s">
        <v>6</v>
      </c>
      <c r="H38" s="2" t="s">
        <v>6</v>
      </c>
      <c r="I38" s="2" t="s">
        <v>647</v>
      </c>
      <c r="J38" s="2">
        <v>15</v>
      </c>
      <c r="K38" s="2" t="s">
        <v>0</v>
      </c>
      <c r="L38" s="2">
        <v>1469771</v>
      </c>
      <c r="M38" s="13">
        <v>22046565</v>
      </c>
      <c r="N38" s="14">
        <v>22046565</v>
      </c>
      <c r="O38" s="14"/>
      <c r="P38" s="9"/>
    </row>
    <row r="39" spans="1:16" x14ac:dyDescent="0.3">
      <c r="A39" s="2" t="s">
        <v>747</v>
      </c>
      <c r="B39" s="2" t="s">
        <v>613</v>
      </c>
      <c r="C39" s="3">
        <v>46260.44672453704</v>
      </c>
      <c r="D39" t="s">
        <v>720</v>
      </c>
      <c r="E39" s="3" t="s">
        <v>702</v>
      </c>
      <c r="F39" s="2" t="s">
        <v>1</v>
      </c>
      <c r="G39" s="2" t="s">
        <v>6</v>
      </c>
      <c r="H39" s="2" t="s">
        <v>6</v>
      </c>
      <c r="I39" s="2" t="s">
        <v>648</v>
      </c>
      <c r="J39" s="2">
        <v>5</v>
      </c>
      <c r="K39" s="2" t="s">
        <v>0</v>
      </c>
      <c r="L39" s="2">
        <v>913415</v>
      </c>
      <c r="M39" s="13">
        <v>4567075</v>
      </c>
      <c r="N39" s="14">
        <v>4567075</v>
      </c>
      <c r="O39" s="14"/>
      <c r="P39" s="9"/>
    </row>
    <row r="40" spans="1:16" x14ac:dyDescent="0.3">
      <c r="A40" s="2" t="s">
        <v>747</v>
      </c>
      <c r="B40" s="2" t="s">
        <v>613</v>
      </c>
      <c r="C40" s="3">
        <v>46260.44672453704</v>
      </c>
      <c r="D40" t="s">
        <v>720</v>
      </c>
      <c r="E40" s="3" t="s">
        <v>702</v>
      </c>
      <c r="F40" s="2" t="s">
        <v>1</v>
      </c>
      <c r="G40" s="2" t="s">
        <v>6</v>
      </c>
      <c r="H40" s="2" t="s">
        <v>6</v>
      </c>
      <c r="I40" s="2" t="s">
        <v>649</v>
      </c>
      <c r="J40" s="2">
        <v>72</v>
      </c>
      <c r="K40" s="2" t="s">
        <v>0</v>
      </c>
      <c r="L40" s="2">
        <v>1739784</v>
      </c>
      <c r="M40" s="13">
        <v>125264448</v>
      </c>
      <c r="N40" s="14">
        <v>125264448</v>
      </c>
      <c r="O40" s="14"/>
      <c r="P40" s="9"/>
    </row>
    <row r="41" spans="1:16" x14ac:dyDescent="0.3">
      <c r="A41" s="2" t="s">
        <v>747</v>
      </c>
      <c r="B41" s="2" t="s">
        <v>613</v>
      </c>
      <c r="C41" s="3">
        <v>46260.44672453704</v>
      </c>
      <c r="D41" t="s">
        <v>720</v>
      </c>
      <c r="E41" s="3" t="s">
        <v>702</v>
      </c>
      <c r="F41" s="2" t="s">
        <v>1</v>
      </c>
      <c r="G41" s="2" t="s">
        <v>6</v>
      </c>
      <c r="H41" s="2" t="s">
        <v>6</v>
      </c>
      <c r="I41" s="2" t="s">
        <v>650</v>
      </c>
      <c r="J41" s="2">
        <v>1</v>
      </c>
      <c r="K41" s="2" t="s">
        <v>0</v>
      </c>
      <c r="L41" s="2">
        <v>815577</v>
      </c>
      <c r="M41" s="13">
        <v>815577</v>
      </c>
      <c r="N41" s="14">
        <v>815577</v>
      </c>
      <c r="O41" s="14"/>
      <c r="P41" s="9"/>
    </row>
    <row r="42" spans="1:16" x14ac:dyDescent="0.3">
      <c r="A42" s="2" t="s">
        <v>747</v>
      </c>
      <c r="B42" s="2" t="s">
        <v>613</v>
      </c>
      <c r="C42" s="3">
        <v>46260.44672453704</v>
      </c>
      <c r="D42" t="s">
        <v>720</v>
      </c>
      <c r="E42" s="3" t="s">
        <v>702</v>
      </c>
      <c r="F42" s="2" t="s">
        <v>1</v>
      </c>
      <c r="G42" s="2" t="s">
        <v>6</v>
      </c>
      <c r="H42" s="2" t="s">
        <v>6</v>
      </c>
      <c r="I42" s="2" t="s">
        <v>651</v>
      </c>
      <c r="J42" s="2">
        <v>1</v>
      </c>
      <c r="K42" s="2" t="s">
        <v>0</v>
      </c>
      <c r="L42" s="2">
        <v>1051510</v>
      </c>
      <c r="M42" s="13">
        <v>1051510</v>
      </c>
      <c r="N42" s="14">
        <v>1051510</v>
      </c>
      <c r="O42" s="14"/>
      <c r="P42" s="9"/>
    </row>
    <row r="43" spans="1:16" x14ac:dyDescent="0.3">
      <c r="A43" s="2" t="s">
        <v>747</v>
      </c>
      <c r="B43" s="2" t="s">
        <v>613</v>
      </c>
      <c r="C43" s="3">
        <v>46260.44672453704</v>
      </c>
      <c r="D43" t="s">
        <v>720</v>
      </c>
      <c r="E43" s="3" t="s">
        <v>702</v>
      </c>
      <c r="F43" s="2" t="s">
        <v>1</v>
      </c>
      <c r="G43" s="2" t="s">
        <v>6</v>
      </c>
      <c r="H43" s="2" t="s">
        <v>6</v>
      </c>
      <c r="I43" s="2" t="s">
        <v>652</v>
      </c>
      <c r="J43" s="2">
        <v>7</v>
      </c>
      <c r="K43" s="2" t="s">
        <v>0</v>
      </c>
      <c r="L43" s="2">
        <v>953956</v>
      </c>
      <c r="M43" s="13">
        <v>6677692</v>
      </c>
      <c r="N43" s="14">
        <v>6677692</v>
      </c>
      <c r="O43" s="14"/>
      <c r="P43" s="9"/>
    </row>
    <row r="44" spans="1:16" x14ac:dyDescent="0.3">
      <c r="A44" s="2" t="s">
        <v>747</v>
      </c>
      <c r="B44" s="2" t="s">
        <v>613</v>
      </c>
      <c r="C44" s="3">
        <v>46260.44672453704</v>
      </c>
      <c r="D44" t="s">
        <v>720</v>
      </c>
      <c r="E44" s="3" t="s">
        <v>702</v>
      </c>
      <c r="F44" s="2" t="s">
        <v>1</v>
      </c>
      <c r="G44" s="2" t="s">
        <v>6</v>
      </c>
      <c r="H44" s="2" t="s">
        <v>6</v>
      </c>
      <c r="I44" s="2" t="s">
        <v>653</v>
      </c>
      <c r="J44" s="2">
        <v>2</v>
      </c>
      <c r="K44" s="2" t="s">
        <v>0</v>
      </c>
      <c r="L44" s="2">
        <v>1466150</v>
      </c>
      <c r="M44" s="13">
        <v>2932300</v>
      </c>
      <c r="N44" s="14">
        <v>2932300</v>
      </c>
      <c r="O44" s="14"/>
      <c r="P44" s="9"/>
    </row>
    <row r="45" spans="1:16" x14ac:dyDescent="0.3">
      <c r="A45" s="2" t="s">
        <v>747</v>
      </c>
      <c r="B45" s="2" t="s">
        <v>613</v>
      </c>
      <c r="C45" s="3">
        <v>46260.44672453704</v>
      </c>
      <c r="D45" t="s">
        <v>720</v>
      </c>
      <c r="E45" s="3" t="s">
        <v>702</v>
      </c>
      <c r="F45" s="2" t="s">
        <v>1</v>
      </c>
      <c r="G45" s="2" t="s">
        <v>6</v>
      </c>
      <c r="H45" s="2" t="s">
        <v>6</v>
      </c>
      <c r="I45" s="2" t="s">
        <v>654</v>
      </c>
      <c r="J45" s="2">
        <v>3</v>
      </c>
      <c r="K45" s="2" t="s">
        <v>0</v>
      </c>
      <c r="L45" s="2">
        <v>1169370</v>
      </c>
      <c r="M45" s="13">
        <v>3508110</v>
      </c>
      <c r="N45" s="14">
        <v>3508110</v>
      </c>
      <c r="O45" s="14"/>
      <c r="P45" s="9"/>
    </row>
    <row r="46" spans="1:16" x14ac:dyDescent="0.3">
      <c r="A46" s="2" t="s">
        <v>747</v>
      </c>
      <c r="B46" s="2" t="s">
        <v>613</v>
      </c>
      <c r="C46" s="3">
        <v>46260.44672453704</v>
      </c>
      <c r="D46" t="s">
        <v>720</v>
      </c>
      <c r="E46" s="3" t="s">
        <v>702</v>
      </c>
      <c r="F46" s="2" t="s">
        <v>1</v>
      </c>
      <c r="G46" s="2" t="s">
        <v>6</v>
      </c>
      <c r="H46" s="2" t="s">
        <v>6</v>
      </c>
      <c r="I46" s="2" t="s">
        <v>655</v>
      </c>
      <c r="J46" s="2">
        <v>3</v>
      </c>
      <c r="K46" s="2" t="s">
        <v>0</v>
      </c>
      <c r="L46" s="2">
        <v>1044126</v>
      </c>
      <c r="M46" s="13">
        <v>3132378</v>
      </c>
      <c r="N46" s="14">
        <v>3132378</v>
      </c>
      <c r="O46" s="14"/>
    </row>
    <row r="47" spans="1:16" x14ac:dyDescent="0.3">
      <c r="A47" s="2" t="s">
        <v>747</v>
      </c>
      <c r="B47" s="2" t="s">
        <v>613</v>
      </c>
      <c r="C47" s="3">
        <v>46260.44672453704</v>
      </c>
      <c r="D47" t="s">
        <v>720</v>
      </c>
      <c r="E47" s="3" t="s">
        <v>702</v>
      </c>
      <c r="F47" s="2" t="s">
        <v>1</v>
      </c>
      <c r="G47" s="2" t="s">
        <v>6</v>
      </c>
      <c r="H47" s="2" t="s">
        <v>6</v>
      </c>
      <c r="I47" s="2" t="s">
        <v>656</v>
      </c>
      <c r="J47" s="2">
        <v>2</v>
      </c>
      <c r="K47" s="2" t="s">
        <v>0</v>
      </c>
      <c r="L47" s="2">
        <v>913415</v>
      </c>
      <c r="M47" s="13">
        <v>1826830</v>
      </c>
      <c r="N47" s="14">
        <v>1826830</v>
      </c>
      <c r="O47" s="14"/>
      <c r="P47" s="9"/>
    </row>
    <row r="48" spans="1:16" x14ac:dyDescent="0.3">
      <c r="A48" s="2" t="s">
        <v>747</v>
      </c>
      <c r="B48" s="2" t="s">
        <v>613</v>
      </c>
      <c r="C48" s="3">
        <v>46260.44672453704</v>
      </c>
      <c r="D48" t="s">
        <v>720</v>
      </c>
      <c r="E48" s="3" t="s">
        <v>702</v>
      </c>
      <c r="F48" s="2" t="s">
        <v>1</v>
      </c>
      <c r="G48" s="2" t="s">
        <v>6</v>
      </c>
      <c r="H48" s="2" t="s">
        <v>6</v>
      </c>
      <c r="I48" s="2" t="s">
        <v>657</v>
      </c>
      <c r="J48" s="2">
        <v>3</v>
      </c>
      <c r="K48" s="2" t="s">
        <v>0</v>
      </c>
      <c r="L48" s="2">
        <v>1169370</v>
      </c>
      <c r="M48" s="13">
        <v>3508110</v>
      </c>
      <c r="N48" s="14">
        <v>3508110</v>
      </c>
      <c r="O48" s="14"/>
      <c r="P48" s="9"/>
    </row>
    <row r="49" spans="1:16" x14ac:dyDescent="0.3">
      <c r="A49" s="2" t="s">
        <v>747</v>
      </c>
      <c r="B49" s="2" t="s">
        <v>613</v>
      </c>
      <c r="C49" s="3">
        <v>46260.44672453704</v>
      </c>
      <c r="D49" t="s">
        <v>720</v>
      </c>
      <c r="E49" s="3" t="s">
        <v>702</v>
      </c>
      <c r="F49" s="2" t="s">
        <v>1</v>
      </c>
      <c r="G49" s="2" t="s">
        <v>6</v>
      </c>
      <c r="H49" s="2" t="s">
        <v>6</v>
      </c>
      <c r="I49" s="2" t="s">
        <v>658</v>
      </c>
      <c r="J49" s="2">
        <v>2</v>
      </c>
      <c r="K49" s="2" t="s">
        <v>0</v>
      </c>
      <c r="L49" s="2">
        <v>1169370</v>
      </c>
      <c r="M49" s="13">
        <v>2338740</v>
      </c>
      <c r="N49" s="14">
        <v>2338740</v>
      </c>
      <c r="O49" s="14"/>
      <c r="P49" s="9"/>
    </row>
    <row r="50" spans="1:16" x14ac:dyDescent="0.3">
      <c r="A50" s="2" t="s">
        <v>747</v>
      </c>
      <c r="B50" s="2" t="s">
        <v>613</v>
      </c>
      <c r="C50" s="3">
        <v>46260.44672453704</v>
      </c>
      <c r="D50" t="s">
        <v>720</v>
      </c>
      <c r="E50" s="3" t="s">
        <v>702</v>
      </c>
      <c r="F50" s="2" t="s">
        <v>1</v>
      </c>
      <c r="G50" s="2" t="s">
        <v>6</v>
      </c>
      <c r="H50" s="2" t="s">
        <v>6</v>
      </c>
      <c r="I50" s="2" t="s">
        <v>659</v>
      </c>
      <c r="J50" s="2">
        <v>1</v>
      </c>
      <c r="K50" s="2" t="s">
        <v>0</v>
      </c>
      <c r="L50" s="2">
        <v>761759</v>
      </c>
      <c r="M50" s="13">
        <v>761759</v>
      </c>
      <c r="N50" s="14">
        <v>761759</v>
      </c>
      <c r="O50" s="14"/>
    </row>
    <row r="51" spans="1:16" x14ac:dyDescent="0.3">
      <c r="A51" s="2" t="s">
        <v>747</v>
      </c>
      <c r="B51" s="2" t="s">
        <v>613</v>
      </c>
      <c r="C51" s="3">
        <v>46260.44672453704</v>
      </c>
      <c r="D51" t="s">
        <v>720</v>
      </c>
      <c r="E51" s="3" t="s">
        <v>702</v>
      </c>
      <c r="F51" s="2" t="s">
        <v>1</v>
      </c>
      <c r="G51" s="2" t="s">
        <v>6</v>
      </c>
      <c r="H51" s="2" t="s">
        <v>6</v>
      </c>
      <c r="I51" s="2" t="s">
        <v>660</v>
      </c>
      <c r="J51" s="2">
        <v>70</v>
      </c>
      <c r="K51" s="2" t="s">
        <v>0</v>
      </c>
      <c r="L51" s="2">
        <v>527014</v>
      </c>
      <c r="M51" s="13">
        <v>36890980</v>
      </c>
      <c r="N51" s="14">
        <v>36890980</v>
      </c>
      <c r="O51" s="14"/>
      <c r="P51" s="9"/>
    </row>
    <row r="52" spans="1:16" hidden="1" x14ac:dyDescent="0.3">
      <c r="A52" s="2" t="s">
        <v>747</v>
      </c>
      <c r="B52" s="2" t="s">
        <v>98</v>
      </c>
      <c r="C52" s="3">
        <v>46248.651041666657</v>
      </c>
      <c r="D52" t="s">
        <v>720</v>
      </c>
      <c r="E52" s="3" t="s">
        <v>702</v>
      </c>
      <c r="F52" s="2" t="s">
        <v>8</v>
      </c>
      <c r="G52" s="2" t="s">
        <v>726</v>
      </c>
      <c r="H52" s="2" t="s">
        <v>90</v>
      </c>
      <c r="I52" s="2" t="s">
        <v>389</v>
      </c>
      <c r="J52" s="2">
        <v>25</v>
      </c>
      <c r="K52" s="2" t="s">
        <v>10</v>
      </c>
      <c r="L52" s="2">
        <v>181.5</v>
      </c>
      <c r="M52" s="13">
        <v>4537.5</v>
      </c>
      <c r="N52" s="14">
        <v>15004877.25</v>
      </c>
      <c r="O52" s="14"/>
      <c r="P52" s="9"/>
    </row>
    <row r="53" spans="1:16" hidden="1" x14ac:dyDescent="0.3">
      <c r="A53" s="2" t="s">
        <v>747</v>
      </c>
      <c r="B53" s="2" t="s">
        <v>98</v>
      </c>
      <c r="C53" s="3">
        <v>46248.651041666657</v>
      </c>
      <c r="D53" t="s">
        <v>720</v>
      </c>
      <c r="E53" s="3" t="s">
        <v>702</v>
      </c>
      <c r="F53" s="2" t="s">
        <v>8</v>
      </c>
      <c r="G53" s="2" t="s">
        <v>726</v>
      </c>
      <c r="H53" s="2" t="s">
        <v>79</v>
      </c>
      <c r="I53" s="2" t="s">
        <v>390</v>
      </c>
      <c r="J53" s="2">
        <v>29</v>
      </c>
      <c r="K53" s="2" t="s">
        <v>10</v>
      </c>
      <c r="L53" s="2">
        <v>53.8</v>
      </c>
      <c r="M53" s="13">
        <v>1560.1999999999998</v>
      </c>
      <c r="N53" s="14">
        <v>5159362.9719999991</v>
      </c>
      <c r="O53" s="14"/>
      <c r="P53" s="9"/>
    </row>
    <row r="54" spans="1:16" hidden="1" x14ac:dyDescent="0.3">
      <c r="A54" s="2" t="s">
        <v>747</v>
      </c>
      <c r="B54" s="2" t="s">
        <v>98</v>
      </c>
      <c r="C54" s="3">
        <v>46248.651041666657</v>
      </c>
      <c r="D54" t="s">
        <v>720</v>
      </c>
      <c r="E54" s="3" t="s">
        <v>702</v>
      </c>
      <c r="F54" s="2" t="s">
        <v>8</v>
      </c>
      <c r="G54" s="2" t="s">
        <v>726</v>
      </c>
      <c r="H54" s="2" t="s">
        <v>79</v>
      </c>
      <c r="I54" s="2" t="s">
        <v>391</v>
      </c>
      <c r="J54" s="2">
        <v>1</v>
      </c>
      <c r="K54" s="2" t="s">
        <v>10</v>
      </c>
      <c r="L54" s="2">
        <v>310.68</v>
      </c>
      <c r="M54" s="13">
        <v>310.68</v>
      </c>
      <c r="N54" s="14">
        <v>1027375.2648</v>
      </c>
      <c r="O54" s="14"/>
      <c r="P54" s="9"/>
    </row>
    <row r="55" spans="1:16" hidden="1" x14ac:dyDescent="0.3">
      <c r="A55" s="2" t="s">
        <v>747</v>
      </c>
      <c r="B55" s="2" t="s">
        <v>96</v>
      </c>
      <c r="C55" s="3">
        <v>46248.648368055547</v>
      </c>
      <c r="D55" t="s">
        <v>720</v>
      </c>
      <c r="E55" s="3" t="s">
        <v>702</v>
      </c>
      <c r="F55" s="2" t="s">
        <v>8</v>
      </c>
      <c r="G55" s="2" t="s">
        <v>726</v>
      </c>
      <c r="H55" s="2" t="s">
        <v>79</v>
      </c>
      <c r="I55" s="2" t="s">
        <v>388</v>
      </c>
      <c r="J55" s="2">
        <v>1</v>
      </c>
      <c r="K55" s="2" t="s">
        <v>10</v>
      </c>
      <c r="L55" s="2">
        <v>69.849999999999994</v>
      </c>
      <c r="M55" s="13">
        <v>69.849999999999994</v>
      </c>
      <c r="N55" s="14">
        <v>230984.171</v>
      </c>
      <c r="O55" s="14"/>
      <c r="P55" s="9"/>
    </row>
    <row r="56" spans="1:16" hidden="1" x14ac:dyDescent="0.3">
      <c r="A56" s="2" t="s">
        <v>747</v>
      </c>
      <c r="B56" s="2" t="s">
        <v>102</v>
      </c>
      <c r="C56" s="3">
        <v>46240.648379629631</v>
      </c>
      <c r="D56" t="s">
        <v>720</v>
      </c>
      <c r="E56" s="3" t="s">
        <v>702</v>
      </c>
      <c r="F56" s="2" t="s">
        <v>8</v>
      </c>
      <c r="G56" s="2" t="s">
        <v>726</v>
      </c>
      <c r="H56" s="2" t="s">
        <v>79</v>
      </c>
      <c r="I56" s="2" t="s">
        <v>393</v>
      </c>
      <c r="J56" s="2">
        <v>2</v>
      </c>
      <c r="K56" s="2" t="s">
        <v>10</v>
      </c>
      <c r="L56" s="2">
        <v>222.01</v>
      </c>
      <c r="M56" s="13">
        <v>444.02</v>
      </c>
      <c r="N56" s="14">
        <v>1468311.9772000001</v>
      </c>
      <c r="O56" s="14"/>
      <c r="P56" s="9"/>
    </row>
    <row r="57" spans="1:16" hidden="1" x14ac:dyDescent="0.3">
      <c r="A57" s="2" t="s">
        <v>747</v>
      </c>
      <c r="B57" s="2" t="s">
        <v>102</v>
      </c>
      <c r="C57" s="3">
        <v>46240.648379629631</v>
      </c>
      <c r="D57" t="s">
        <v>720</v>
      </c>
      <c r="E57" s="3" t="s">
        <v>702</v>
      </c>
      <c r="F57" s="2" t="s">
        <v>8</v>
      </c>
      <c r="G57" s="2" t="s">
        <v>726</v>
      </c>
      <c r="H57" s="2" t="s">
        <v>79</v>
      </c>
      <c r="I57" s="2" t="s">
        <v>661</v>
      </c>
      <c r="J57" s="2">
        <v>2</v>
      </c>
      <c r="K57" s="2" t="s">
        <v>10</v>
      </c>
      <c r="L57" s="2">
        <v>12.18</v>
      </c>
      <c r="M57" s="13">
        <v>24.36</v>
      </c>
      <c r="N57" s="14">
        <v>80555.109599999996</v>
      </c>
      <c r="O57" s="14"/>
      <c r="P57" s="9"/>
    </row>
    <row r="58" spans="1:16" hidden="1" x14ac:dyDescent="0.3">
      <c r="A58" s="2" t="s">
        <v>747</v>
      </c>
      <c r="B58" s="2" t="s">
        <v>102</v>
      </c>
      <c r="C58" s="3">
        <v>46240.648379629631</v>
      </c>
      <c r="D58" t="s">
        <v>720</v>
      </c>
      <c r="E58" s="3" t="s">
        <v>702</v>
      </c>
      <c r="F58" s="2" t="s">
        <v>8</v>
      </c>
      <c r="G58" s="2" t="s">
        <v>726</v>
      </c>
      <c r="H58" s="2" t="s">
        <v>79</v>
      </c>
      <c r="I58" s="2" t="s">
        <v>394</v>
      </c>
      <c r="J58" s="2">
        <v>8</v>
      </c>
      <c r="K58" s="2" t="s">
        <v>10</v>
      </c>
      <c r="L58" s="2">
        <v>11.35</v>
      </c>
      <c r="M58" s="13">
        <v>90.8</v>
      </c>
      <c r="N58" s="14">
        <v>300262.88799999998</v>
      </c>
      <c r="O58" s="14"/>
      <c r="P58" s="9"/>
    </row>
    <row r="59" spans="1:16" hidden="1" x14ac:dyDescent="0.3">
      <c r="A59" s="2" t="s">
        <v>747</v>
      </c>
      <c r="B59" s="2" t="s">
        <v>117</v>
      </c>
      <c r="C59" s="3">
        <v>46230.707546296297</v>
      </c>
      <c r="D59" t="s">
        <v>719</v>
      </c>
      <c r="E59" s="3" t="s">
        <v>702</v>
      </c>
      <c r="F59" s="2" t="s">
        <v>1</v>
      </c>
      <c r="G59" s="2" t="s">
        <v>1</v>
      </c>
      <c r="H59" s="2"/>
      <c r="I59" s="2" t="s">
        <v>401</v>
      </c>
      <c r="J59" s="2">
        <v>6</v>
      </c>
      <c r="K59" s="2" t="s">
        <v>0</v>
      </c>
      <c r="L59" s="2">
        <v>77340</v>
      </c>
      <c r="M59" s="13">
        <v>464040</v>
      </c>
      <c r="N59" s="14">
        <v>464040</v>
      </c>
      <c r="O59" s="14"/>
      <c r="P59" s="9"/>
    </row>
    <row r="60" spans="1:16" hidden="1" x14ac:dyDescent="0.3">
      <c r="A60" s="2" t="s">
        <v>747</v>
      </c>
      <c r="B60" s="2" t="s">
        <v>104</v>
      </c>
      <c r="C60" s="3">
        <v>46227.398518518523</v>
      </c>
      <c r="D60" t="s">
        <v>719</v>
      </c>
      <c r="E60" s="3" t="s">
        <v>702</v>
      </c>
      <c r="F60" s="2" t="s">
        <v>8</v>
      </c>
      <c r="G60" s="2" t="s">
        <v>726</v>
      </c>
      <c r="H60" s="2" t="s">
        <v>79</v>
      </c>
      <c r="I60" s="2" t="s">
        <v>393</v>
      </c>
      <c r="J60" s="2">
        <v>2</v>
      </c>
      <c r="K60" s="2" t="s">
        <v>10</v>
      </c>
      <c r="L60" s="2">
        <v>222.01</v>
      </c>
      <c r="M60" s="13">
        <v>444.02</v>
      </c>
      <c r="N60" s="14">
        <v>1468311.9772000001</v>
      </c>
      <c r="O60" s="14"/>
      <c r="P60" s="9"/>
    </row>
    <row r="61" spans="1:16" hidden="1" x14ac:dyDescent="0.3">
      <c r="A61" s="2" t="s">
        <v>747</v>
      </c>
      <c r="B61" s="2" t="s">
        <v>104</v>
      </c>
      <c r="C61" s="3">
        <v>46227.398518518523</v>
      </c>
      <c r="D61" t="s">
        <v>719</v>
      </c>
      <c r="E61" s="3" t="s">
        <v>702</v>
      </c>
      <c r="F61" s="2" t="s">
        <v>8</v>
      </c>
      <c r="G61" s="2" t="s">
        <v>726</v>
      </c>
      <c r="H61" s="2" t="s">
        <v>79</v>
      </c>
      <c r="I61" s="2" t="s">
        <v>661</v>
      </c>
      <c r="J61" s="2">
        <v>2</v>
      </c>
      <c r="K61" s="2" t="s">
        <v>10</v>
      </c>
      <c r="L61" s="2">
        <v>12.18</v>
      </c>
      <c r="M61" s="13">
        <v>24.36</v>
      </c>
      <c r="N61" s="14">
        <v>80555.109599999996</v>
      </c>
      <c r="O61" s="14"/>
      <c r="P61" s="9"/>
    </row>
    <row r="62" spans="1:16" hidden="1" x14ac:dyDescent="0.3">
      <c r="A62" s="2" t="s">
        <v>747</v>
      </c>
      <c r="B62" s="2" t="s">
        <v>104</v>
      </c>
      <c r="C62" s="3">
        <v>46227.398518518523</v>
      </c>
      <c r="D62" t="s">
        <v>719</v>
      </c>
      <c r="E62" s="3" t="s">
        <v>702</v>
      </c>
      <c r="F62" s="2" t="s">
        <v>8</v>
      </c>
      <c r="G62" s="2" t="s">
        <v>726</v>
      </c>
      <c r="H62" s="2" t="s">
        <v>79</v>
      </c>
      <c r="I62" s="2" t="s">
        <v>394</v>
      </c>
      <c r="J62" s="2">
        <v>6</v>
      </c>
      <c r="K62" s="2" t="s">
        <v>10</v>
      </c>
      <c r="L62" s="2">
        <v>11.35</v>
      </c>
      <c r="M62" s="13">
        <v>68.099999999999994</v>
      </c>
      <c r="N62" s="14">
        <v>225197.166</v>
      </c>
      <c r="O62" s="14"/>
      <c r="P62" s="9"/>
    </row>
    <row r="63" spans="1:16" hidden="1" x14ac:dyDescent="0.3">
      <c r="A63" s="2" t="s">
        <v>747</v>
      </c>
      <c r="B63" s="2" t="s">
        <v>115</v>
      </c>
      <c r="C63" s="3">
        <v>46225.430358796293</v>
      </c>
      <c r="D63" t="s">
        <v>719</v>
      </c>
      <c r="E63" s="3" t="s">
        <v>702</v>
      </c>
      <c r="F63" s="2" t="s">
        <v>1</v>
      </c>
      <c r="G63" s="2" t="s">
        <v>1</v>
      </c>
      <c r="H63" s="2"/>
      <c r="I63" s="2" t="s">
        <v>400</v>
      </c>
      <c r="J63" s="2">
        <v>60</v>
      </c>
      <c r="K63" s="2" t="s">
        <v>0</v>
      </c>
      <c r="L63" s="2">
        <v>2400</v>
      </c>
      <c r="M63" s="13">
        <v>144000</v>
      </c>
      <c r="N63" s="14">
        <v>144000</v>
      </c>
      <c r="O63" s="14"/>
      <c r="P63" s="9"/>
    </row>
    <row r="64" spans="1:16" hidden="1" x14ac:dyDescent="0.3">
      <c r="A64" s="2" t="s">
        <v>747</v>
      </c>
      <c r="B64" s="2" t="s">
        <v>614</v>
      </c>
      <c r="C64" s="3">
        <v>46255.552129629628</v>
      </c>
      <c r="D64" t="s">
        <v>720</v>
      </c>
      <c r="E64" s="3" t="s">
        <v>702</v>
      </c>
      <c r="F64" s="2" t="s">
        <v>2</v>
      </c>
      <c r="G64" s="2" t="s">
        <v>726</v>
      </c>
      <c r="H64" s="2" t="s">
        <v>80</v>
      </c>
      <c r="I64" s="2" t="s">
        <v>662</v>
      </c>
      <c r="J64" s="2">
        <v>1</v>
      </c>
      <c r="K64" s="2" t="s">
        <v>10</v>
      </c>
      <c r="L64" s="2">
        <v>3350</v>
      </c>
      <c r="M64" s="13">
        <v>3350</v>
      </c>
      <c r="N64" s="14">
        <v>11077981</v>
      </c>
      <c r="O64" s="14"/>
      <c r="P64" s="9"/>
    </row>
    <row r="65" spans="1:16" hidden="1" x14ac:dyDescent="0.3">
      <c r="A65" s="2" t="s">
        <v>747</v>
      </c>
      <c r="B65" s="2" t="s">
        <v>614</v>
      </c>
      <c r="C65" s="3">
        <v>46255.552129629628</v>
      </c>
      <c r="D65" t="s">
        <v>720</v>
      </c>
      <c r="E65" s="3" t="s">
        <v>702</v>
      </c>
      <c r="F65" s="2" t="s">
        <v>2</v>
      </c>
      <c r="G65" s="2" t="s">
        <v>726</v>
      </c>
      <c r="H65" s="2" t="s">
        <v>80</v>
      </c>
      <c r="I65" s="2" t="s">
        <v>561</v>
      </c>
      <c r="J65" s="2">
        <v>4</v>
      </c>
      <c r="K65" s="2" t="s">
        <v>10</v>
      </c>
      <c r="L65" s="2">
        <v>386</v>
      </c>
      <c r="M65" s="13">
        <v>1544</v>
      </c>
      <c r="N65" s="14">
        <v>5105791.84</v>
      </c>
      <c r="O65" s="14"/>
      <c r="P65" s="9"/>
    </row>
    <row r="66" spans="1:16" hidden="1" x14ac:dyDescent="0.3">
      <c r="A66" s="2" t="s">
        <v>747</v>
      </c>
      <c r="B66" s="2" t="s">
        <v>615</v>
      </c>
      <c r="C66" s="3">
        <v>46218.463125000002</v>
      </c>
      <c r="D66" t="s">
        <v>719</v>
      </c>
      <c r="E66" s="3" t="s">
        <v>702</v>
      </c>
      <c r="F66" s="2" t="s">
        <v>9</v>
      </c>
      <c r="G66" s="2" t="s">
        <v>726</v>
      </c>
      <c r="H66" s="2" t="s">
        <v>80</v>
      </c>
      <c r="I66" s="2" t="s">
        <v>663</v>
      </c>
      <c r="J66" s="2">
        <v>1</v>
      </c>
      <c r="K66" s="2" t="s">
        <v>10</v>
      </c>
      <c r="L66" s="2">
        <v>384.38</v>
      </c>
      <c r="M66" s="13">
        <v>384.38</v>
      </c>
      <c r="N66" s="14">
        <v>1271090.8467999999</v>
      </c>
      <c r="O66" s="14"/>
      <c r="P66" s="9"/>
    </row>
    <row r="67" spans="1:16" hidden="1" x14ac:dyDescent="0.3">
      <c r="A67" s="2" t="s">
        <v>747</v>
      </c>
      <c r="B67" s="2" t="s">
        <v>129</v>
      </c>
      <c r="C67" s="3">
        <v>46213.477152777778</v>
      </c>
      <c r="D67" t="s">
        <v>719</v>
      </c>
      <c r="E67" s="3" t="s">
        <v>702</v>
      </c>
      <c r="F67" s="2" t="s">
        <v>8</v>
      </c>
      <c r="G67" s="2" t="s">
        <v>726</v>
      </c>
      <c r="H67" s="2" t="s">
        <v>79</v>
      </c>
      <c r="I67" s="2" t="s">
        <v>664</v>
      </c>
      <c r="J67" s="2">
        <v>40</v>
      </c>
      <c r="K67" s="2" t="s">
        <v>10</v>
      </c>
      <c r="L67" s="2">
        <v>48</v>
      </c>
      <c r="M67" s="13">
        <v>1920</v>
      </c>
      <c r="N67" s="14">
        <v>6349171.2000000002</v>
      </c>
      <c r="O67" s="14"/>
      <c r="P67" s="9"/>
    </row>
    <row r="68" spans="1:16" hidden="1" x14ac:dyDescent="0.3">
      <c r="A68" s="2" t="s">
        <v>747</v>
      </c>
      <c r="B68" s="2" t="s">
        <v>127</v>
      </c>
      <c r="C68" s="3">
        <v>46217.3671875</v>
      </c>
      <c r="D68" t="s">
        <v>719</v>
      </c>
      <c r="E68" s="3" t="s">
        <v>702</v>
      </c>
      <c r="F68" s="2" t="s">
        <v>8</v>
      </c>
      <c r="G68" s="2" t="s">
        <v>726</v>
      </c>
      <c r="H68" s="2" t="s">
        <v>7</v>
      </c>
      <c r="I68" s="2" t="s">
        <v>407</v>
      </c>
      <c r="J68" s="2">
        <v>1</v>
      </c>
      <c r="K68" s="2" t="s">
        <v>10</v>
      </c>
      <c r="L68" s="2">
        <v>795.17</v>
      </c>
      <c r="M68" s="13">
        <v>795.17</v>
      </c>
      <c r="N68" s="14">
        <v>2629515.8662</v>
      </c>
      <c r="O68" s="14"/>
      <c r="P68" s="9"/>
    </row>
    <row r="69" spans="1:16" hidden="1" x14ac:dyDescent="0.3">
      <c r="A69" s="2" t="s">
        <v>747</v>
      </c>
      <c r="B69" s="2" t="s">
        <v>127</v>
      </c>
      <c r="C69" s="3">
        <v>46217.3671875</v>
      </c>
      <c r="D69" t="s">
        <v>719</v>
      </c>
      <c r="E69" s="3" t="s">
        <v>702</v>
      </c>
      <c r="F69" s="2" t="s">
        <v>8</v>
      </c>
      <c r="G69" s="2" t="s">
        <v>726</v>
      </c>
      <c r="H69" s="2" t="s">
        <v>82</v>
      </c>
      <c r="I69" s="2" t="s">
        <v>408</v>
      </c>
      <c r="J69" s="2">
        <v>1</v>
      </c>
      <c r="K69" s="2" t="s">
        <v>10</v>
      </c>
      <c r="L69" s="2">
        <v>84.2</v>
      </c>
      <c r="M69" s="13">
        <v>84.2</v>
      </c>
      <c r="N69" s="14">
        <v>278437.61200000002</v>
      </c>
      <c r="O69" s="14"/>
      <c r="P69" s="9"/>
    </row>
    <row r="70" spans="1:16" hidden="1" x14ac:dyDescent="0.3">
      <c r="A70" s="2" t="s">
        <v>747</v>
      </c>
      <c r="B70" s="2" t="s">
        <v>127</v>
      </c>
      <c r="C70" s="3">
        <v>46217.3671875</v>
      </c>
      <c r="D70" t="s">
        <v>719</v>
      </c>
      <c r="E70" s="3" t="s">
        <v>702</v>
      </c>
      <c r="F70" s="2" t="s">
        <v>8</v>
      </c>
      <c r="G70" s="2" t="s">
        <v>726</v>
      </c>
      <c r="H70" s="2" t="s">
        <v>79</v>
      </c>
      <c r="I70" s="2" t="s">
        <v>388</v>
      </c>
      <c r="J70" s="2">
        <v>1</v>
      </c>
      <c r="K70" s="2" t="s">
        <v>10</v>
      </c>
      <c r="L70" s="2">
        <v>78.16</v>
      </c>
      <c r="M70" s="13">
        <v>78.16</v>
      </c>
      <c r="N70" s="14">
        <v>258464.1776</v>
      </c>
      <c r="O70" s="14"/>
    </row>
    <row r="71" spans="1:16" hidden="1" x14ac:dyDescent="0.3">
      <c r="A71" s="2" t="s">
        <v>747</v>
      </c>
      <c r="B71" s="2" t="s">
        <v>127</v>
      </c>
      <c r="C71" s="3">
        <v>46217.3671875</v>
      </c>
      <c r="D71" t="s">
        <v>719</v>
      </c>
      <c r="E71" s="3" t="s">
        <v>702</v>
      </c>
      <c r="F71" s="2" t="s">
        <v>8</v>
      </c>
      <c r="G71" s="2" t="s">
        <v>726</v>
      </c>
      <c r="H71" s="2" t="s">
        <v>79</v>
      </c>
      <c r="I71" s="2" t="s">
        <v>665</v>
      </c>
      <c r="J71" s="2">
        <v>0</v>
      </c>
      <c r="K71" s="2" t="s">
        <v>10</v>
      </c>
      <c r="L71" s="2">
        <v>43.74</v>
      </c>
      <c r="M71" s="13">
        <v>0</v>
      </c>
      <c r="N71" s="14">
        <v>0</v>
      </c>
      <c r="O71" s="14"/>
    </row>
    <row r="72" spans="1:16" hidden="1" x14ac:dyDescent="0.3">
      <c r="A72" s="2" t="s">
        <v>747</v>
      </c>
      <c r="B72" s="2" t="s">
        <v>127</v>
      </c>
      <c r="C72" s="3">
        <v>46217.3671875</v>
      </c>
      <c r="D72" t="s">
        <v>719</v>
      </c>
      <c r="E72" s="3" t="s">
        <v>702</v>
      </c>
      <c r="F72" s="2" t="s">
        <v>8</v>
      </c>
      <c r="G72" s="2" t="s">
        <v>726</v>
      </c>
      <c r="H72" s="2" t="s">
        <v>83</v>
      </c>
      <c r="I72" s="2" t="s">
        <v>666</v>
      </c>
      <c r="J72" s="2">
        <v>0</v>
      </c>
      <c r="K72" s="2" t="s">
        <v>10</v>
      </c>
      <c r="L72" s="2">
        <v>0</v>
      </c>
      <c r="M72" s="13">
        <v>0</v>
      </c>
      <c r="N72" s="14">
        <v>0</v>
      </c>
      <c r="O72" s="14"/>
    </row>
    <row r="73" spans="1:16" hidden="1" x14ac:dyDescent="0.3">
      <c r="A73" s="2" t="s">
        <v>747</v>
      </c>
      <c r="B73" s="2" t="s">
        <v>127</v>
      </c>
      <c r="C73" s="3">
        <v>46217.3671875</v>
      </c>
      <c r="D73" t="s">
        <v>719</v>
      </c>
      <c r="E73" s="3" t="s">
        <v>702</v>
      </c>
      <c r="F73" s="2" t="s">
        <v>8</v>
      </c>
      <c r="G73" s="2" t="s">
        <v>726</v>
      </c>
      <c r="H73" s="2" t="s">
        <v>90</v>
      </c>
      <c r="I73" s="2" t="s">
        <v>402</v>
      </c>
      <c r="J73" s="2">
        <v>0</v>
      </c>
      <c r="K73" s="2" t="s">
        <v>10</v>
      </c>
      <c r="L73" s="2">
        <v>4.68</v>
      </c>
      <c r="M73" s="13">
        <v>0</v>
      </c>
      <c r="N73" s="14">
        <v>0</v>
      </c>
      <c r="O73" s="14"/>
    </row>
    <row r="74" spans="1:16" hidden="1" x14ac:dyDescent="0.3">
      <c r="A74" s="2" t="s">
        <v>747</v>
      </c>
      <c r="B74" s="2" t="s">
        <v>111</v>
      </c>
      <c r="C74" s="3">
        <v>46212.504710648151</v>
      </c>
      <c r="D74" t="s">
        <v>719</v>
      </c>
      <c r="E74" s="3" t="s">
        <v>702</v>
      </c>
      <c r="F74" s="2" t="s">
        <v>8</v>
      </c>
      <c r="G74" s="2" t="s">
        <v>726</v>
      </c>
      <c r="H74" s="2" t="s">
        <v>79</v>
      </c>
      <c r="I74" s="2" t="s">
        <v>397</v>
      </c>
      <c r="J74" s="2">
        <v>20</v>
      </c>
      <c r="K74" s="2" t="s">
        <v>10</v>
      </c>
      <c r="L74" s="2">
        <v>62.08</v>
      </c>
      <c r="M74" s="13">
        <v>1241.5999999999999</v>
      </c>
      <c r="N74" s="14">
        <v>4105797.3759999997</v>
      </c>
      <c r="O74" s="14"/>
    </row>
    <row r="75" spans="1:16" hidden="1" x14ac:dyDescent="0.3">
      <c r="A75" s="2" t="s">
        <v>747</v>
      </c>
      <c r="B75" s="2" t="s">
        <v>111</v>
      </c>
      <c r="C75" s="3">
        <v>46212.504710648151</v>
      </c>
      <c r="D75" t="s">
        <v>719</v>
      </c>
      <c r="E75" s="3" t="s">
        <v>702</v>
      </c>
      <c r="F75" s="2" t="s">
        <v>8</v>
      </c>
      <c r="G75" s="2" t="s">
        <v>726</v>
      </c>
      <c r="H75" s="2" t="s">
        <v>83</v>
      </c>
      <c r="I75" s="2" t="s">
        <v>667</v>
      </c>
      <c r="J75" s="2">
        <v>10</v>
      </c>
      <c r="K75" s="2" t="s">
        <v>10</v>
      </c>
      <c r="L75" s="2">
        <v>62.08</v>
      </c>
      <c r="M75" s="13">
        <v>620.79999999999995</v>
      </c>
      <c r="N75" s="14">
        <v>2052898.6879999998</v>
      </c>
      <c r="O75" s="14"/>
    </row>
    <row r="76" spans="1:16" hidden="1" x14ac:dyDescent="0.3">
      <c r="A76" s="2" t="s">
        <v>747</v>
      </c>
      <c r="B76" s="2" t="s">
        <v>100</v>
      </c>
      <c r="C76" s="3">
        <v>46209.642685185187</v>
      </c>
      <c r="D76" t="s">
        <v>719</v>
      </c>
      <c r="E76" s="3" t="s">
        <v>702</v>
      </c>
      <c r="F76" s="2" t="s">
        <v>8</v>
      </c>
      <c r="G76" s="2" t="s">
        <v>726</v>
      </c>
      <c r="H76" s="2" t="s">
        <v>79</v>
      </c>
      <c r="I76" s="2" t="s">
        <v>668</v>
      </c>
      <c r="J76" s="2">
        <v>4</v>
      </c>
      <c r="K76" s="2" t="s">
        <v>10</v>
      </c>
      <c r="L76" s="2">
        <v>83.48</v>
      </c>
      <c r="M76" s="13">
        <v>333.92</v>
      </c>
      <c r="N76" s="14">
        <v>1104226.6912</v>
      </c>
      <c r="O76" s="14"/>
      <c r="P76" s="9"/>
    </row>
    <row r="77" spans="1:16" hidden="1" x14ac:dyDescent="0.3">
      <c r="A77" s="2" t="s">
        <v>747</v>
      </c>
      <c r="B77" s="2" t="s">
        <v>100</v>
      </c>
      <c r="C77" s="3">
        <v>46209.642685185187</v>
      </c>
      <c r="D77" t="s">
        <v>719</v>
      </c>
      <c r="E77" s="3" t="s">
        <v>702</v>
      </c>
      <c r="F77" s="2" t="s">
        <v>8</v>
      </c>
      <c r="G77" s="2" t="s">
        <v>726</v>
      </c>
      <c r="H77" s="2" t="s">
        <v>79</v>
      </c>
      <c r="I77" s="2" t="s">
        <v>410</v>
      </c>
      <c r="J77" s="2">
        <v>1</v>
      </c>
      <c r="K77" s="2" t="s">
        <v>10</v>
      </c>
      <c r="L77" s="2">
        <v>127.22</v>
      </c>
      <c r="M77" s="13">
        <v>127.22</v>
      </c>
      <c r="N77" s="14">
        <v>420698.7292</v>
      </c>
      <c r="O77" s="14"/>
    </row>
    <row r="78" spans="1:16" hidden="1" x14ac:dyDescent="0.3">
      <c r="A78" s="2" t="s">
        <v>747</v>
      </c>
      <c r="B78" s="2" t="s">
        <v>100</v>
      </c>
      <c r="C78" s="3">
        <v>46209.642685185187</v>
      </c>
      <c r="D78" t="s">
        <v>719</v>
      </c>
      <c r="E78" s="3" t="s">
        <v>702</v>
      </c>
      <c r="F78" s="2" t="s">
        <v>8</v>
      </c>
      <c r="G78" s="2" t="s">
        <v>726</v>
      </c>
      <c r="H78" s="2" t="s">
        <v>79</v>
      </c>
      <c r="I78" s="2" t="s">
        <v>388</v>
      </c>
      <c r="J78" s="2">
        <v>6</v>
      </c>
      <c r="K78" s="2" t="s">
        <v>10</v>
      </c>
      <c r="L78" s="2">
        <v>69.849999999999994</v>
      </c>
      <c r="M78" s="13">
        <v>419.09999999999997</v>
      </c>
      <c r="N78" s="14">
        <v>1385905.0259999998</v>
      </c>
      <c r="O78" s="14"/>
    </row>
    <row r="79" spans="1:16" hidden="1" x14ac:dyDescent="0.3">
      <c r="A79" s="2" t="s">
        <v>747</v>
      </c>
      <c r="B79" s="2" t="s">
        <v>616</v>
      </c>
      <c r="C79" s="3">
        <v>46209.379050925927</v>
      </c>
      <c r="D79" t="s">
        <v>719</v>
      </c>
      <c r="E79" s="3" t="s">
        <v>702</v>
      </c>
      <c r="F79" s="2" t="s">
        <v>2</v>
      </c>
      <c r="G79" s="2" t="s">
        <v>726</v>
      </c>
      <c r="H79" s="2" t="s">
        <v>91</v>
      </c>
      <c r="I79" s="2" t="s">
        <v>669</v>
      </c>
      <c r="J79" s="2">
        <v>3</v>
      </c>
      <c r="K79" s="2" t="s">
        <v>10</v>
      </c>
      <c r="L79" s="2">
        <v>1938</v>
      </c>
      <c r="M79" s="13">
        <v>5814</v>
      </c>
      <c r="N79" s="14">
        <v>19226084.039999999</v>
      </c>
      <c r="O79" s="14"/>
    </row>
    <row r="80" spans="1:16" hidden="1" x14ac:dyDescent="0.3">
      <c r="A80" s="2" t="s">
        <v>747</v>
      </c>
      <c r="B80" s="2" t="s">
        <v>106</v>
      </c>
      <c r="C80" s="3">
        <v>46196.441377314812</v>
      </c>
      <c r="D80" t="s">
        <v>718</v>
      </c>
      <c r="E80" s="3" t="s">
        <v>701</v>
      </c>
      <c r="F80" s="2" t="s">
        <v>1</v>
      </c>
      <c r="G80" s="2" t="s">
        <v>745</v>
      </c>
      <c r="H80" s="2" t="s">
        <v>89</v>
      </c>
      <c r="I80" s="2" t="s">
        <v>395</v>
      </c>
      <c r="J80" s="2">
        <v>10</v>
      </c>
      <c r="K80" s="2" t="s">
        <v>10</v>
      </c>
      <c r="L80" s="2">
        <v>1.25</v>
      </c>
      <c r="M80" s="13">
        <v>12.5</v>
      </c>
      <c r="N80" s="14">
        <v>41335.75</v>
      </c>
      <c r="O80" s="14"/>
      <c r="P80" s="9"/>
    </row>
    <row r="81" spans="1:16" hidden="1" x14ac:dyDescent="0.3">
      <c r="A81" s="2" t="s">
        <v>747</v>
      </c>
      <c r="B81" s="2" t="s">
        <v>152</v>
      </c>
      <c r="C81" s="3">
        <v>46195.405729166669</v>
      </c>
      <c r="D81" t="s">
        <v>718</v>
      </c>
      <c r="E81" s="3" t="s">
        <v>701</v>
      </c>
      <c r="F81" s="2" t="s">
        <v>1</v>
      </c>
      <c r="G81" s="2" t="s">
        <v>1</v>
      </c>
      <c r="H81" s="2"/>
      <c r="I81" s="2" t="s">
        <v>413</v>
      </c>
      <c r="J81" s="2">
        <v>20</v>
      </c>
      <c r="K81" s="2" t="s">
        <v>0</v>
      </c>
      <c r="L81" s="2">
        <v>19125</v>
      </c>
      <c r="M81" s="13">
        <v>382500</v>
      </c>
      <c r="N81" s="14">
        <v>382500</v>
      </c>
      <c r="O81" s="14"/>
    </row>
    <row r="82" spans="1:16" hidden="1" x14ac:dyDescent="0.3">
      <c r="A82" s="2" t="s">
        <v>747</v>
      </c>
      <c r="B82" s="2" t="s">
        <v>152</v>
      </c>
      <c r="C82" s="3">
        <v>46195.405729166669</v>
      </c>
      <c r="D82" t="s">
        <v>718</v>
      </c>
      <c r="E82" s="3" t="s">
        <v>701</v>
      </c>
      <c r="F82" s="2" t="s">
        <v>1</v>
      </c>
      <c r="G82" s="2" t="s">
        <v>1</v>
      </c>
      <c r="H82" s="2"/>
      <c r="I82" s="2" t="s">
        <v>400</v>
      </c>
      <c r="J82" s="2">
        <v>30</v>
      </c>
      <c r="K82" s="2" t="s">
        <v>0</v>
      </c>
      <c r="L82" s="2">
        <v>2400</v>
      </c>
      <c r="M82" s="13">
        <v>72000</v>
      </c>
      <c r="N82" s="14">
        <v>72000</v>
      </c>
      <c r="O82" s="14"/>
      <c r="P82" s="9"/>
    </row>
    <row r="83" spans="1:16" hidden="1" x14ac:dyDescent="0.3">
      <c r="A83" s="2" t="s">
        <v>747</v>
      </c>
      <c r="B83" s="2" t="s">
        <v>156</v>
      </c>
      <c r="C83" s="3">
        <v>46192.553495370368</v>
      </c>
      <c r="D83" t="s">
        <v>718</v>
      </c>
      <c r="E83" s="3" t="s">
        <v>701</v>
      </c>
      <c r="F83" s="2" t="s">
        <v>2</v>
      </c>
      <c r="G83" s="2" t="s">
        <v>726</v>
      </c>
      <c r="H83" s="2" t="s">
        <v>80</v>
      </c>
      <c r="I83" s="2" t="s">
        <v>427</v>
      </c>
      <c r="J83" s="2">
        <v>16</v>
      </c>
      <c r="K83" s="2" t="s">
        <v>10</v>
      </c>
      <c r="L83" s="2">
        <v>35.1</v>
      </c>
      <c r="M83" s="13">
        <v>561.6</v>
      </c>
      <c r="N83" s="14">
        <v>1857132.5760000001</v>
      </c>
      <c r="O83" s="14"/>
      <c r="P83" s="9"/>
    </row>
    <row r="84" spans="1:16" hidden="1" x14ac:dyDescent="0.3">
      <c r="A84" s="2" t="s">
        <v>747</v>
      </c>
      <c r="B84" s="2" t="s">
        <v>160</v>
      </c>
      <c r="C84" s="3">
        <v>46191.685104166667</v>
      </c>
      <c r="D84" t="s">
        <v>718</v>
      </c>
      <c r="E84" s="3" t="s">
        <v>701</v>
      </c>
      <c r="F84" s="2" t="s">
        <v>8</v>
      </c>
      <c r="G84" s="2" t="s">
        <v>726</v>
      </c>
      <c r="H84" s="2" t="s">
        <v>84</v>
      </c>
      <c r="I84" s="2" t="s">
        <v>440</v>
      </c>
      <c r="J84" s="2">
        <v>13</v>
      </c>
      <c r="K84" s="2" t="s">
        <v>10</v>
      </c>
      <c r="L84" s="2">
        <v>6.85</v>
      </c>
      <c r="M84" s="13">
        <v>89.05</v>
      </c>
      <c r="N84" s="14">
        <v>294475.88300000003</v>
      </c>
      <c r="O84" s="14"/>
      <c r="P84" s="9"/>
    </row>
    <row r="85" spans="1:16" hidden="1" x14ac:dyDescent="0.3">
      <c r="A85" s="2" t="s">
        <v>747</v>
      </c>
      <c r="B85" s="2" t="s">
        <v>160</v>
      </c>
      <c r="C85" s="3">
        <v>46191.685104166667</v>
      </c>
      <c r="D85" t="s">
        <v>718</v>
      </c>
      <c r="E85" s="3" t="s">
        <v>701</v>
      </c>
      <c r="F85" s="2" t="s">
        <v>8</v>
      </c>
      <c r="G85" s="2" t="s">
        <v>726</v>
      </c>
      <c r="H85" s="2" t="s">
        <v>84</v>
      </c>
      <c r="I85" s="2" t="s">
        <v>439</v>
      </c>
      <c r="J85" s="2">
        <v>40</v>
      </c>
      <c r="K85" s="2" t="s">
        <v>10</v>
      </c>
      <c r="L85" s="2">
        <v>8.84</v>
      </c>
      <c r="M85" s="13">
        <v>353.6</v>
      </c>
      <c r="N85" s="14">
        <v>1169305.6960000002</v>
      </c>
      <c r="O85" s="14"/>
      <c r="P85" s="9"/>
    </row>
    <row r="86" spans="1:16" hidden="1" x14ac:dyDescent="0.3">
      <c r="A86" s="2" t="s">
        <v>747</v>
      </c>
      <c r="B86" s="2" t="s">
        <v>160</v>
      </c>
      <c r="C86" s="3">
        <v>46191.685104166667</v>
      </c>
      <c r="D86" t="s">
        <v>718</v>
      </c>
      <c r="E86" s="3" t="s">
        <v>701</v>
      </c>
      <c r="F86" s="2" t="s">
        <v>8</v>
      </c>
      <c r="G86" s="2" t="s">
        <v>726</v>
      </c>
      <c r="H86" s="2" t="s">
        <v>84</v>
      </c>
      <c r="I86" s="2" t="s">
        <v>439</v>
      </c>
      <c r="J86" s="2">
        <v>27</v>
      </c>
      <c r="K86" s="2" t="s">
        <v>10</v>
      </c>
      <c r="L86" s="2">
        <v>6.85</v>
      </c>
      <c r="M86" s="13">
        <v>184.95</v>
      </c>
      <c r="N86" s="14">
        <v>611603.75699999998</v>
      </c>
      <c r="O86" s="14"/>
      <c r="P86" s="9"/>
    </row>
    <row r="87" spans="1:16" hidden="1" x14ac:dyDescent="0.3">
      <c r="A87" s="2" t="s">
        <v>747</v>
      </c>
      <c r="B87" s="2" t="s">
        <v>144</v>
      </c>
      <c r="C87" s="3">
        <v>46191.497604166667</v>
      </c>
      <c r="D87" t="s">
        <v>718</v>
      </c>
      <c r="E87" s="3" t="s">
        <v>701</v>
      </c>
      <c r="F87" s="2" t="s">
        <v>8</v>
      </c>
      <c r="G87" s="2" t="s">
        <v>726</v>
      </c>
      <c r="H87" s="2" t="s">
        <v>79</v>
      </c>
      <c r="I87" s="2" t="s">
        <v>443</v>
      </c>
      <c r="J87" s="2">
        <v>4</v>
      </c>
      <c r="K87" s="2" t="s">
        <v>10</v>
      </c>
      <c r="L87" s="2">
        <v>2</v>
      </c>
      <c r="M87" s="13">
        <v>8</v>
      </c>
      <c r="N87" s="14">
        <v>26454.880000000001</v>
      </c>
      <c r="O87" s="14"/>
      <c r="P87" s="9"/>
    </row>
    <row r="88" spans="1:16" hidden="1" x14ac:dyDescent="0.3">
      <c r="A88" s="2" t="s">
        <v>747</v>
      </c>
      <c r="B88" s="2" t="s">
        <v>144</v>
      </c>
      <c r="C88" s="3">
        <v>46191.497604166667</v>
      </c>
      <c r="D88" t="s">
        <v>718</v>
      </c>
      <c r="E88" s="3" t="s">
        <v>701</v>
      </c>
      <c r="F88" s="2" t="s">
        <v>8</v>
      </c>
      <c r="G88" s="2" t="s">
        <v>726</v>
      </c>
      <c r="H88" s="2" t="s">
        <v>84</v>
      </c>
      <c r="I88" s="2" t="s">
        <v>444</v>
      </c>
      <c r="J88" s="2">
        <v>3</v>
      </c>
      <c r="K88" s="2" t="s">
        <v>10</v>
      </c>
      <c r="L88" s="2">
        <v>10.9</v>
      </c>
      <c r="M88" s="13">
        <v>32.700000000000003</v>
      </c>
      <c r="N88" s="14">
        <v>108134.32200000001</v>
      </c>
      <c r="O88" s="14"/>
    </row>
    <row r="89" spans="1:16" hidden="1" x14ac:dyDescent="0.3">
      <c r="A89" s="2" t="s">
        <v>747</v>
      </c>
      <c r="B89" s="2" t="s">
        <v>144</v>
      </c>
      <c r="C89" s="3">
        <v>46191.497604166667</v>
      </c>
      <c r="D89" t="s">
        <v>718</v>
      </c>
      <c r="E89" s="3" t="s">
        <v>701</v>
      </c>
      <c r="F89" s="2" t="s">
        <v>8</v>
      </c>
      <c r="G89" s="2" t="s">
        <v>726</v>
      </c>
      <c r="H89" s="2" t="s">
        <v>84</v>
      </c>
      <c r="I89" s="2" t="s">
        <v>419</v>
      </c>
      <c r="J89" s="2">
        <v>6</v>
      </c>
      <c r="K89" s="2" t="s">
        <v>10</v>
      </c>
      <c r="L89" s="2">
        <v>13.6</v>
      </c>
      <c r="M89" s="13">
        <v>81.599999999999994</v>
      </c>
      <c r="N89" s="14">
        <v>269839.77600000001</v>
      </c>
      <c r="O89" s="14"/>
    </row>
    <row r="90" spans="1:16" hidden="1" x14ac:dyDescent="0.3">
      <c r="A90" s="2" t="s">
        <v>747</v>
      </c>
      <c r="B90" s="2" t="s">
        <v>121</v>
      </c>
      <c r="C90" s="3">
        <v>46191.393877314818</v>
      </c>
      <c r="D90" t="s">
        <v>718</v>
      </c>
      <c r="E90" s="3" t="s">
        <v>701</v>
      </c>
      <c r="F90" s="2" t="s">
        <v>1</v>
      </c>
      <c r="G90" s="2" t="s">
        <v>745</v>
      </c>
      <c r="H90" s="2" t="s">
        <v>89</v>
      </c>
      <c r="I90" s="2" t="s">
        <v>441</v>
      </c>
      <c r="J90" s="2">
        <v>10</v>
      </c>
      <c r="K90" s="2" t="s">
        <v>10</v>
      </c>
      <c r="L90" s="2">
        <v>5.98</v>
      </c>
      <c r="M90" s="13">
        <v>59.800000000000004</v>
      </c>
      <c r="N90" s="14">
        <v>197750.22800000003</v>
      </c>
      <c r="O90" s="14"/>
    </row>
    <row r="91" spans="1:16" hidden="1" x14ac:dyDescent="0.3">
      <c r="A91" s="2" t="s">
        <v>747</v>
      </c>
      <c r="B91" s="2" t="s">
        <v>121</v>
      </c>
      <c r="C91" s="3">
        <v>46191.393877314818</v>
      </c>
      <c r="D91" t="s">
        <v>718</v>
      </c>
      <c r="E91" s="3" t="s">
        <v>701</v>
      </c>
      <c r="F91" s="2" t="s">
        <v>1</v>
      </c>
      <c r="G91" s="2" t="s">
        <v>745</v>
      </c>
      <c r="H91" s="2" t="s">
        <v>89</v>
      </c>
      <c r="I91" s="2" t="s">
        <v>578</v>
      </c>
      <c r="J91" s="2">
        <v>10</v>
      </c>
      <c r="K91" s="2" t="s">
        <v>10</v>
      </c>
      <c r="L91" s="2">
        <v>5.91</v>
      </c>
      <c r="M91" s="13">
        <v>59.1</v>
      </c>
      <c r="N91" s="14">
        <v>195435.42600000001</v>
      </c>
      <c r="O91" s="14"/>
      <c r="P91" s="9"/>
    </row>
    <row r="92" spans="1:16" hidden="1" x14ac:dyDescent="0.3">
      <c r="A92" s="2" t="s">
        <v>747</v>
      </c>
      <c r="B92" s="2" t="s">
        <v>121</v>
      </c>
      <c r="C92" s="3">
        <v>46191.393877314818</v>
      </c>
      <c r="D92" t="s">
        <v>718</v>
      </c>
      <c r="E92" s="3" t="s">
        <v>701</v>
      </c>
      <c r="F92" s="2" t="s">
        <v>1</v>
      </c>
      <c r="G92" s="2" t="s">
        <v>745</v>
      </c>
      <c r="H92" s="2" t="s">
        <v>89</v>
      </c>
      <c r="I92" s="2" t="s">
        <v>403</v>
      </c>
      <c r="J92" s="2">
        <v>6</v>
      </c>
      <c r="K92" s="2" t="s">
        <v>10</v>
      </c>
      <c r="L92" s="2">
        <v>3.64</v>
      </c>
      <c r="M92" s="13">
        <v>21.84</v>
      </c>
      <c r="N92" s="14">
        <v>72221.822400000005</v>
      </c>
      <c r="O92" s="14"/>
      <c r="P92" s="9"/>
    </row>
    <row r="93" spans="1:16" hidden="1" x14ac:dyDescent="0.3">
      <c r="A93" s="2" t="s">
        <v>747</v>
      </c>
      <c r="B93" s="2" t="s">
        <v>121</v>
      </c>
      <c r="C93" s="3">
        <v>46191.393877314818</v>
      </c>
      <c r="D93" t="s">
        <v>718</v>
      </c>
      <c r="E93" s="3" t="s">
        <v>701</v>
      </c>
      <c r="F93" s="2" t="s">
        <v>1</v>
      </c>
      <c r="G93" s="2" t="s">
        <v>745</v>
      </c>
      <c r="H93" s="2" t="s">
        <v>89</v>
      </c>
      <c r="I93" s="2" t="s">
        <v>442</v>
      </c>
      <c r="J93" s="2">
        <v>20</v>
      </c>
      <c r="K93" s="2" t="s">
        <v>10</v>
      </c>
      <c r="L93" s="2">
        <v>1.43</v>
      </c>
      <c r="M93" s="13">
        <v>28.599999999999998</v>
      </c>
      <c r="N93" s="14">
        <v>94576.195999999996</v>
      </c>
      <c r="O93" s="14"/>
      <c r="P93" s="9"/>
    </row>
    <row r="94" spans="1:16" hidden="1" x14ac:dyDescent="0.3">
      <c r="A94" s="2" t="s">
        <v>747</v>
      </c>
      <c r="B94" s="2" t="s">
        <v>109</v>
      </c>
      <c r="C94" s="3">
        <v>46190.653761574067</v>
      </c>
      <c r="D94" t="s">
        <v>718</v>
      </c>
      <c r="E94" s="3" t="s">
        <v>701</v>
      </c>
      <c r="F94" s="2" t="s">
        <v>8</v>
      </c>
      <c r="G94" s="2" t="s">
        <v>726</v>
      </c>
      <c r="H94" s="2" t="s">
        <v>79</v>
      </c>
      <c r="I94" s="2" t="s">
        <v>428</v>
      </c>
      <c r="J94" s="2">
        <v>500</v>
      </c>
      <c r="K94" s="2" t="s">
        <v>10</v>
      </c>
      <c r="L94" s="2">
        <v>1.04</v>
      </c>
      <c r="M94" s="13">
        <v>520</v>
      </c>
      <c r="N94" s="14">
        <v>1719567.2</v>
      </c>
      <c r="O94" s="14"/>
      <c r="P94" s="9"/>
    </row>
    <row r="95" spans="1:16" hidden="1" x14ac:dyDescent="0.3">
      <c r="A95" s="2" t="s">
        <v>747</v>
      </c>
      <c r="B95" s="2" t="s">
        <v>109</v>
      </c>
      <c r="C95" s="3">
        <v>46190.653761574067</v>
      </c>
      <c r="D95" t="s">
        <v>718</v>
      </c>
      <c r="E95" s="3" t="s">
        <v>701</v>
      </c>
      <c r="F95" s="2" t="s">
        <v>8</v>
      </c>
      <c r="G95" s="2" t="s">
        <v>726</v>
      </c>
      <c r="H95" s="2" t="s">
        <v>79</v>
      </c>
      <c r="I95" s="2" t="s">
        <v>429</v>
      </c>
      <c r="J95" s="2">
        <v>500</v>
      </c>
      <c r="K95" s="2" t="s">
        <v>10</v>
      </c>
      <c r="L95" s="2">
        <v>1.04</v>
      </c>
      <c r="M95" s="13">
        <v>520</v>
      </c>
      <c r="N95" s="14">
        <v>1719567.2</v>
      </c>
      <c r="O95" s="14"/>
      <c r="P95" s="9"/>
    </row>
    <row r="96" spans="1:16" hidden="1" x14ac:dyDescent="0.3">
      <c r="A96" s="2" t="s">
        <v>747</v>
      </c>
      <c r="B96" s="2" t="s">
        <v>109</v>
      </c>
      <c r="C96" s="3">
        <v>46190.653761574067</v>
      </c>
      <c r="D96" t="s">
        <v>718</v>
      </c>
      <c r="E96" s="3" t="s">
        <v>701</v>
      </c>
      <c r="F96" s="2" t="s">
        <v>8</v>
      </c>
      <c r="G96" s="2" t="s">
        <v>726</v>
      </c>
      <c r="H96" s="2" t="s">
        <v>90</v>
      </c>
      <c r="I96" s="2" t="s">
        <v>402</v>
      </c>
      <c r="J96" s="2">
        <v>400</v>
      </c>
      <c r="K96" s="2" t="s">
        <v>10</v>
      </c>
      <c r="L96" s="2">
        <v>4.9800000000000004</v>
      </c>
      <c r="M96" s="13">
        <v>1992.0000000000002</v>
      </c>
      <c r="N96" s="14">
        <v>6587265.120000001</v>
      </c>
      <c r="O96" s="14"/>
      <c r="P96" s="9"/>
    </row>
    <row r="97" spans="1:16" hidden="1" x14ac:dyDescent="0.3">
      <c r="A97" s="2" t="s">
        <v>747</v>
      </c>
      <c r="B97" s="2" t="s">
        <v>109</v>
      </c>
      <c r="C97" s="3">
        <v>46190.653761574067</v>
      </c>
      <c r="D97" t="s">
        <v>718</v>
      </c>
      <c r="E97" s="3" t="s">
        <v>701</v>
      </c>
      <c r="F97" s="2" t="s">
        <v>8</v>
      </c>
      <c r="G97" s="2" t="s">
        <v>726</v>
      </c>
      <c r="H97" s="2" t="s">
        <v>79</v>
      </c>
      <c r="I97" s="2" t="s">
        <v>664</v>
      </c>
      <c r="J97" s="2">
        <v>10</v>
      </c>
      <c r="K97" s="2" t="s">
        <v>10</v>
      </c>
      <c r="L97" s="2">
        <v>48</v>
      </c>
      <c r="M97" s="13">
        <v>480</v>
      </c>
      <c r="N97" s="14">
        <v>1587292.8</v>
      </c>
      <c r="O97" s="14"/>
      <c r="P97" s="9"/>
    </row>
    <row r="98" spans="1:16" hidden="1" x14ac:dyDescent="0.3">
      <c r="A98" s="2" t="s">
        <v>747</v>
      </c>
      <c r="B98" s="2" t="s">
        <v>109</v>
      </c>
      <c r="C98" s="3">
        <v>46190.653761574067</v>
      </c>
      <c r="D98" t="s">
        <v>718</v>
      </c>
      <c r="E98" s="3" t="s">
        <v>701</v>
      </c>
      <c r="F98" s="2" t="s">
        <v>8</v>
      </c>
      <c r="G98" s="2" t="s">
        <v>726</v>
      </c>
      <c r="H98" s="2" t="s">
        <v>79</v>
      </c>
      <c r="I98" s="2" t="s">
        <v>430</v>
      </c>
      <c r="J98" s="2">
        <v>40</v>
      </c>
      <c r="K98" s="2" t="s">
        <v>10</v>
      </c>
      <c r="L98" s="2">
        <v>18.79</v>
      </c>
      <c r="M98" s="13">
        <v>751.59999999999991</v>
      </c>
      <c r="N98" s="14">
        <v>2485435.9759999998</v>
      </c>
      <c r="O98" s="14"/>
    </row>
    <row r="99" spans="1:16" hidden="1" x14ac:dyDescent="0.3">
      <c r="A99" s="2" t="s">
        <v>747</v>
      </c>
      <c r="B99" s="2" t="s">
        <v>109</v>
      </c>
      <c r="C99" s="3">
        <v>46190.653761574067</v>
      </c>
      <c r="D99" t="s">
        <v>718</v>
      </c>
      <c r="E99" s="3" t="s">
        <v>701</v>
      </c>
      <c r="F99" s="2" t="s">
        <v>8</v>
      </c>
      <c r="G99" s="2" t="s">
        <v>726</v>
      </c>
      <c r="H99" s="2" t="s">
        <v>90</v>
      </c>
      <c r="I99" s="2" t="s">
        <v>431</v>
      </c>
      <c r="J99" s="2">
        <v>480</v>
      </c>
      <c r="K99" s="2" t="s">
        <v>10</v>
      </c>
      <c r="L99" s="2">
        <v>2.88</v>
      </c>
      <c r="M99" s="13">
        <v>1382.3999999999999</v>
      </c>
      <c r="N99" s="14">
        <v>4571403.2639999995</v>
      </c>
      <c r="O99" s="14"/>
      <c r="P99" s="9"/>
    </row>
    <row r="100" spans="1:16" hidden="1" x14ac:dyDescent="0.3">
      <c r="A100" s="2" t="s">
        <v>747</v>
      </c>
      <c r="B100" s="2" t="s">
        <v>109</v>
      </c>
      <c r="C100" s="3">
        <v>46190.653761574067</v>
      </c>
      <c r="D100" t="s">
        <v>718</v>
      </c>
      <c r="E100" s="3" t="s">
        <v>701</v>
      </c>
      <c r="F100" s="2" t="s">
        <v>8</v>
      </c>
      <c r="G100" s="2" t="s">
        <v>726</v>
      </c>
      <c r="H100" s="2" t="s">
        <v>84</v>
      </c>
      <c r="I100" s="2" t="s">
        <v>432</v>
      </c>
      <c r="J100" s="2">
        <v>75</v>
      </c>
      <c r="K100" s="2" t="s">
        <v>10</v>
      </c>
      <c r="L100" s="2">
        <v>3.17</v>
      </c>
      <c r="M100" s="13">
        <v>237.75</v>
      </c>
      <c r="N100" s="14">
        <v>786205.96500000008</v>
      </c>
      <c r="O100" s="14"/>
    </row>
    <row r="101" spans="1:16" hidden="1" x14ac:dyDescent="0.3">
      <c r="A101" s="2" t="s">
        <v>747</v>
      </c>
      <c r="B101" s="2" t="s">
        <v>109</v>
      </c>
      <c r="C101" s="3">
        <v>46190.653761574067</v>
      </c>
      <c r="D101" t="s">
        <v>718</v>
      </c>
      <c r="E101" s="3" t="s">
        <v>701</v>
      </c>
      <c r="F101" s="2" t="s">
        <v>8</v>
      </c>
      <c r="G101" s="2" t="s">
        <v>726</v>
      </c>
      <c r="H101" s="2" t="s">
        <v>84</v>
      </c>
      <c r="I101" s="2" t="s">
        <v>433</v>
      </c>
      <c r="J101" s="2">
        <v>300</v>
      </c>
      <c r="K101" s="2" t="s">
        <v>10</v>
      </c>
      <c r="L101" s="2">
        <v>4.08</v>
      </c>
      <c r="M101" s="13">
        <v>1224</v>
      </c>
      <c r="N101" s="14">
        <v>4047596.64</v>
      </c>
      <c r="O101" s="14"/>
      <c r="P101" s="9"/>
    </row>
    <row r="102" spans="1:16" hidden="1" x14ac:dyDescent="0.3">
      <c r="A102" s="2" t="s">
        <v>747</v>
      </c>
      <c r="B102" s="2" t="s">
        <v>109</v>
      </c>
      <c r="C102" s="3">
        <v>46190.653761574067</v>
      </c>
      <c r="D102" t="s">
        <v>718</v>
      </c>
      <c r="E102" s="3" t="s">
        <v>701</v>
      </c>
      <c r="F102" s="2" t="s">
        <v>8</v>
      </c>
      <c r="G102" s="2" t="s">
        <v>726</v>
      </c>
      <c r="H102" s="2" t="s">
        <v>84</v>
      </c>
      <c r="I102" s="2" t="s">
        <v>434</v>
      </c>
      <c r="J102" s="2">
        <v>300</v>
      </c>
      <c r="K102" s="2" t="s">
        <v>10</v>
      </c>
      <c r="L102" s="2">
        <v>4.8499999999999996</v>
      </c>
      <c r="M102" s="13">
        <v>1455</v>
      </c>
      <c r="N102" s="14">
        <v>4811481.3</v>
      </c>
      <c r="O102" s="14"/>
      <c r="P102" s="9"/>
    </row>
    <row r="103" spans="1:16" hidden="1" x14ac:dyDescent="0.3">
      <c r="A103" s="2" t="s">
        <v>747</v>
      </c>
      <c r="B103" s="2" t="s">
        <v>109</v>
      </c>
      <c r="C103" s="3">
        <v>46190.653761574067</v>
      </c>
      <c r="D103" t="s">
        <v>718</v>
      </c>
      <c r="E103" s="3" t="s">
        <v>701</v>
      </c>
      <c r="F103" s="2" t="s">
        <v>8</v>
      </c>
      <c r="G103" s="2" t="s">
        <v>726</v>
      </c>
      <c r="H103" s="2" t="s">
        <v>84</v>
      </c>
      <c r="I103" s="2" t="s">
        <v>435</v>
      </c>
      <c r="J103" s="2">
        <v>300</v>
      </c>
      <c r="K103" s="2" t="s">
        <v>10</v>
      </c>
      <c r="L103" s="2">
        <v>4.25</v>
      </c>
      <c r="M103" s="13">
        <v>1275</v>
      </c>
      <c r="N103" s="14">
        <v>4216246.5</v>
      </c>
      <c r="O103" s="14"/>
    </row>
    <row r="104" spans="1:16" hidden="1" x14ac:dyDescent="0.3">
      <c r="A104" s="2" t="s">
        <v>747</v>
      </c>
      <c r="B104" s="2" t="s">
        <v>109</v>
      </c>
      <c r="C104" s="3">
        <v>46190.653761574067</v>
      </c>
      <c r="D104" t="s">
        <v>718</v>
      </c>
      <c r="E104" s="3" t="s">
        <v>701</v>
      </c>
      <c r="F104" s="2" t="s">
        <v>8</v>
      </c>
      <c r="G104" s="2" t="s">
        <v>726</v>
      </c>
      <c r="H104" s="2" t="s">
        <v>84</v>
      </c>
      <c r="I104" s="2" t="s">
        <v>436</v>
      </c>
      <c r="J104" s="2">
        <v>300</v>
      </c>
      <c r="K104" s="2" t="s">
        <v>10</v>
      </c>
      <c r="L104" s="2">
        <v>4.8099999999999996</v>
      </c>
      <c r="M104" s="13">
        <v>1442.9999999999998</v>
      </c>
      <c r="N104" s="14">
        <v>4771798.9799999995</v>
      </c>
      <c r="O104" s="14"/>
      <c r="P104" s="9"/>
    </row>
    <row r="105" spans="1:16" hidden="1" x14ac:dyDescent="0.3">
      <c r="A105" s="2" t="s">
        <v>747</v>
      </c>
      <c r="B105" s="2" t="s">
        <v>109</v>
      </c>
      <c r="C105" s="3">
        <v>46190.653761574067</v>
      </c>
      <c r="D105" t="s">
        <v>718</v>
      </c>
      <c r="E105" s="3" t="s">
        <v>701</v>
      </c>
      <c r="F105" s="2" t="s">
        <v>8</v>
      </c>
      <c r="G105" s="2" t="s">
        <v>726</v>
      </c>
      <c r="H105" s="2" t="s">
        <v>84</v>
      </c>
      <c r="I105" s="2" t="s">
        <v>437</v>
      </c>
      <c r="J105" s="2">
        <v>180</v>
      </c>
      <c r="K105" s="2" t="s">
        <v>10</v>
      </c>
      <c r="L105" s="2">
        <v>5.44</v>
      </c>
      <c r="M105" s="13">
        <v>979.2</v>
      </c>
      <c r="N105" s="14">
        <v>3238077.3120000004</v>
      </c>
      <c r="O105" s="14"/>
    </row>
    <row r="106" spans="1:16" hidden="1" x14ac:dyDescent="0.3">
      <c r="A106" s="2" t="s">
        <v>747</v>
      </c>
      <c r="B106" s="2" t="s">
        <v>109</v>
      </c>
      <c r="C106" s="3">
        <v>46190.653761574067</v>
      </c>
      <c r="D106" t="s">
        <v>718</v>
      </c>
      <c r="E106" s="3" t="s">
        <v>701</v>
      </c>
      <c r="F106" s="2" t="s">
        <v>8</v>
      </c>
      <c r="G106" s="2" t="s">
        <v>726</v>
      </c>
      <c r="H106" s="2" t="s">
        <v>90</v>
      </c>
      <c r="I106" s="2" t="s">
        <v>416</v>
      </c>
      <c r="J106" s="2">
        <v>20</v>
      </c>
      <c r="K106" s="2" t="s">
        <v>10</v>
      </c>
      <c r="L106" s="2">
        <v>54.91</v>
      </c>
      <c r="M106" s="13">
        <v>1098.1999999999998</v>
      </c>
      <c r="N106" s="14">
        <v>3631593.6519999998</v>
      </c>
      <c r="O106" s="14"/>
      <c r="P106" s="9"/>
    </row>
    <row r="107" spans="1:16" hidden="1" x14ac:dyDescent="0.3">
      <c r="A107" s="2" t="s">
        <v>747</v>
      </c>
      <c r="B107" s="2" t="s">
        <v>109</v>
      </c>
      <c r="C107" s="3">
        <v>46190.653761574067</v>
      </c>
      <c r="D107" t="s">
        <v>718</v>
      </c>
      <c r="E107" s="3" t="s">
        <v>701</v>
      </c>
      <c r="F107" s="2" t="s">
        <v>8</v>
      </c>
      <c r="G107" s="2" t="s">
        <v>726</v>
      </c>
      <c r="H107" s="2" t="s">
        <v>79</v>
      </c>
      <c r="I107" s="2" t="s">
        <v>397</v>
      </c>
      <c r="J107" s="2">
        <v>15</v>
      </c>
      <c r="K107" s="2" t="s">
        <v>10</v>
      </c>
      <c r="L107" s="2">
        <v>62.08</v>
      </c>
      <c r="M107" s="13">
        <v>931.19999999999993</v>
      </c>
      <c r="N107" s="14">
        <v>3079348.0320000001</v>
      </c>
      <c r="O107" s="14"/>
    </row>
    <row r="108" spans="1:16" hidden="1" x14ac:dyDescent="0.3">
      <c r="A108" s="2" t="s">
        <v>747</v>
      </c>
      <c r="B108" s="2" t="s">
        <v>109</v>
      </c>
      <c r="C108" s="3">
        <v>46190.653761574067</v>
      </c>
      <c r="D108" t="s">
        <v>718</v>
      </c>
      <c r="E108" s="3" t="s">
        <v>701</v>
      </c>
      <c r="F108" s="2" t="s">
        <v>8</v>
      </c>
      <c r="G108" s="2" t="s">
        <v>726</v>
      </c>
      <c r="H108" s="2" t="s">
        <v>83</v>
      </c>
      <c r="I108" s="2" t="s">
        <v>438</v>
      </c>
      <c r="J108" s="2">
        <v>6</v>
      </c>
      <c r="K108" s="2" t="s">
        <v>10</v>
      </c>
      <c r="L108" s="2">
        <v>49</v>
      </c>
      <c r="M108" s="13">
        <v>294</v>
      </c>
      <c r="N108" s="14">
        <v>972216.84000000008</v>
      </c>
      <c r="O108" s="14"/>
    </row>
    <row r="109" spans="1:16" hidden="1" x14ac:dyDescent="0.3">
      <c r="A109" s="2" t="s">
        <v>747</v>
      </c>
      <c r="B109" s="2" t="s">
        <v>109</v>
      </c>
      <c r="C109" s="3">
        <v>46190.653761574067</v>
      </c>
      <c r="D109" t="s">
        <v>718</v>
      </c>
      <c r="E109" s="3" t="s">
        <v>701</v>
      </c>
      <c r="F109" s="2" t="s">
        <v>8</v>
      </c>
      <c r="G109" s="2" t="s">
        <v>726</v>
      </c>
      <c r="H109" s="2" t="s">
        <v>83</v>
      </c>
      <c r="I109" s="2" t="s">
        <v>667</v>
      </c>
      <c r="J109" s="2">
        <v>15</v>
      </c>
      <c r="K109" s="2" t="s">
        <v>10</v>
      </c>
      <c r="L109" s="2">
        <v>62.08</v>
      </c>
      <c r="M109" s="13">
        <v>931.19999999999993</v>
      </c>
      <c r="N109" s="14">
        <v>3079348.0320000001</v>
      </c>
      <c r="O109" s="14"/>
    </row>
    <row r="110" spans="1:16" hidden="1" x14ac:dyDescent="0.3">
      <c r="A110" s="2" t="s">
        <v>747</v>
      </c>
      <c r="B110" s="2" t="s">
        <v>165</v>
      </c>
      <c r="C110" s="3">
        <v>46190.385474537034</v>
      </c>
      <c r="D110" t="s">
        <v>718</v>
      </c>
      <c r="E110" s="3" t="s">
        <v>701</v>
      </c>
      <c r="F110" s="2" t="s">
        <v>8</v>
      </c>
      <c r="G110" s="2" t="s">
        <v>726</v>
      </c>
      <c r="H110" s="2" t="s">
        <v>79</v>
      </c>
      <c r="I110" s="2" t="s">
        <v>664</v>
      </c>
      <c r="J110" s="2">
        <v>50</v>
      </c>
      <c r="K110" s="2" t="s">
        <v>10</v>
      </c>
      <c r="L110" s="2">
        <v>47.6</v>
      </c>
      <c r="M110" s="13">
        <v>2380</v>
      </c>
      <c r="N110" s="14">
        <v>7870326.8000000007</v>
      </c>
      <c r="O110" s="14"/>
    </row>
    <row r="111" spans="1:16" hidden="1" x14ac:dyDescent="0.3">
      <c r="A111" s="2" t="s">
        <v>747</v>
      </c>
      <c r="B111" s="2" t="s">
        <v>172</v>
      </c>
      <c r="C111" s="3">
        <v>46184.71565972222</v>
      </c>
      <c r="D111" t="s">
        <v>718</v>
      </c>
      <c r="E111" s="3" t="s">
        <v>701</v>
      </c>
      <c r="F111" s="2" t="s">
        <v>1</v>
      </c>
      <c r="G111" s="2" t="s">
        <v>1</v>
      </c>
      <c r="H111" s="2"/>
      <c r="I111" s="2" t="s">
        <v>413</v>
      </c>
      <c r="J111" s="2">
        <v>500</v>
      </c>
      <c r="K111" s="2" t="s">
        <v>0</v>
      </c>
      <c r="L111" s="2">
        <v>19125</v>
      </c>
      <c r="M111" s="13">
        <v>9562500</v>
      </c>
      <c r="N111" s="14">
        <v>9562500</v>
      </c>
      <c r="O111" s="14"/>
    </row>
    <row r="112" spans="1:16" hidden="1" x14ac:dyDescent="0.3">
      <c r="A112" s="2" t="s">
        <v>747</v>
      </c>
      <c r="B112" s="2" t="s">
        <v>123</v>
      </c>
      <c r="C112" s="3">
        <v>46184.710844907408</v>
      </c>
      <c r="D112" t="s">
        <v>718</v>
      </c>
      <c r="E112" s="3" t="s">
        <v>701</v>
      </c>
      <c r="F112" s="2" t="s">
        <v>8</v>
      </c>
      <c r="G112" s="2" t="s">
        <v>726</v>
      </c>
      <c r="H112" s="2" t="s">
        <v>90</v>
      </c>
      <c r="I112" s="2" t="s">
        <v>450</v>
      </c>
      <c r="J112" s="2">
        <v>96</v>
      </c>
      <c r="K112" s="2" t="s">
        <v>10</v>
      </c>
      <c r="L112" s="2">
        <v>23.36</v>
      </c>
      <c r="M112" s="13">
        <v>2242.56</v>
      </c>
      <c r="N112" s="14">
        <v>7415831.9616</v>
      </c>
      <c r="O112" s="14"/>
      <c r="P112" s="9"/>
    </row>
    <row r="113" spans="1:16" hidden="1" x14ac:dyDescent="0.3">
      <c r="A113" s="2" t="s">
        <v>747</v>
      </c>
      <c r="B113" s="2" t="s">
        <v>123</v>
      </c>
      <c r="C113" s="3">
        <v>46184.710844907408</v>
      </c>
      <c r="D113" t="s">
        <v>718</v>
      </c>
      <c r="E113" s="3" t="s">
        <v>701</v>
      </c>
      <c r="F113" s="2" t="s">
        <v>8</v>
      </c>
      <c r="G113" s="2" t="s">
        <v>726</v>
      </c>
      <c r="H113" s="2" t="s">
        <v>90</v>
      </c>
      <c r="I113" s="2" t="s">
        <v>404</v>
      </c>
      <c r="J113" s="2">
        <v>152</v>
      </c>
      <c r="K113" s="2" t="s">
        <v>10</v>
      </c>
      <c r="L113" s="2">
        <v>5.58</v>
      </c>
      <c r="M113" s="13">
        <v>848.16</v>
      </c>
      <c r="N113" s="14">
        <v>2804746.3775999998</v>
      </c>
      <c r="O113" s="14"/>
    </row>
    <row r="114" spans="1:16" hidden="1" x14ac:dyDescent="0.3">
      <c r="A114" s="2" t="s">
        <v>747</v>
      </c>
      <c r="B114" s="2" t="s">
        <v>123</v>
      </c>
      <c r="C114" s="3">
        <v>46184.710844907408</v>
      </c>
      <c r="D114" t="s">
        <v>718</v>
      </c>
      <c r="E114" s="3" t="s">
        <v>701</v>
      </c>
      <c r="F114" s="2" t="s">
        <v>8</v>
      </c>
      <c r="G114" s="2" t="s">
        <v>726</v>
      </c>
      <c r="H114" s="2" t="s">
        <v>88</v>
      </c>
      <c r="I114" s="2" t="s">
        <v>451</v>
      </c>
      <c r="J114" s="2">
        <v>29</v>
      </c>
      <c r="K114" s="2" t="s">
        <v>10</v>
      </c>
      <c r="L114" s="2">
        <v>164.7</v>
      </c>
      <c r="M114" s="13">
        <v>4776.2999999999993</v>
      </c>
      <c r="N114" s="14">
        <v>15794555.417999998</v>
      </c>
      <c r="O114" s="14"/>
      <c r="P114" s="9"/>
    </row>
    <row r="115" spans="1:16" hidden="1" x14ac:dyDescent="0.3">
      <c r="A115" s="2" t="s">
        <v>747</v>
      </c>
      <c r="B115" s="2" t="s">
        <v>123</v>
      </c>
      <c r="C115" s="3">
        <v>46184.710844907408</v>
      </c>
      <c r="D115" t="s">
        <v>718</v>
      </c>
      <c r="E115" s="3" t="s">
        <v>701</v>
      </c>
      <c r="F115" s="2" t="s">
        <v>8</v>
      </c>
      <c r="G115" s="2" t="s">
        <v>726</v>
      </c>
      <c r="H115" s="2" t="s">
        <v>84</v>
      </c>
      <c r="I115" s="2" t="s">
        <v>452</v>
      </c>
      <c r="J115" s="2">
        <v>100</v>
      </c>
      <c r="K115" s="2" t="s">
        <v>10</v>
      </c>
      <c r="L115" s="2">
        <v>2.98</v>
      </c>
      <c r="M115" s="13">
        <v>298</v>
      </c>
      <c r="N115" s="14">
        <v>985444.28</v>
      </c>
      <c r="O115" s="14"/>
      <c r="P115" s="9"/>
    </row>
    <row r="116" spans="1:16" hidden="1" x14ac:dyDescent="0.3">
      <c r="A116" s="2" t="s">
        <v>747</v>
      </c>
      <c r="B116" s="2" t="s">
        <v>123</v>
      </c>
      <c r="C116" s="3">
        <v>46184.710844907408</v>
      </c>
      <c r="D116" t="s">
        <v>718</v>
      </c>
      <c r="E116" s="3" t="s">
        <v>701</v>
      </c>
      <c r="F116" s="2" t="s">
        <v>8</v>
      </c>
      <c r="G116" s="2" t="s">
        <v>726</v>
      </c>
      <c r="H116" s="2" t="s">
        <v>84</v>
      </c>
      <c r="I116" s="2" t="s">
        <v>453</v>
      </c>
      <c r="J116" s="2">
        <v>110</v>
      </c>
      <c r="K116" s="2" t="s">
        <v>10</v>
      </c>
      <c r="L116" s="2">
        <v>4.08</v>
      </c>
      <c r="M116" s="13">
        <v>448.8</v>
      </c>
      <c r="N116" s="14">
        <v>1484118.7680000002</v>
      </c>
      <c r="O116" s="14"/>
      <c r="P116" s="9"/>
    </row>
    <row r="117" spans="1:16" hidden="1" x14ac:dyDescent="0.3">
      <c r="A117" s="2" t="s">
        <v>747</v>
      </c>
      <c r="B117" s="2" t="s">
        <v>123</v>
      </c>
      <c r="C117" s="3">
        <v>46184.710844907408</v>
      </c>
      <c r="D117" t="s">
        <v>718</v>
      </c>
      <c r="E117" s="3" t="s">
        <v>701</v>
      </c>
      <c r="F117" s="2" t="s">
        <v>8</v>
      </c>
      <c r="G117" s="2" t="s">
        <v>726</v>
      </c>
      <c r="H117" s="2" t="s">
        <v>79</v>
      </c>
      <c r="I117" s="2" t="s">
        <v>430</v>
      </c>
      <c r="J117" s="2">
        <v>19</v>
      </c>
      <c r="K117" s="2" t="s">
        <v>10</v>
      </c>
      <c r="L117" s="2">
        <v>25.06</v>
      </c>
      <c r="M117" s="13">
        <v>476.14</v>
      </c>
      <c r="N117" s="14">
        <v>1574528.3204000001</v>
      </c>
      <c r="O117" s="14"/>
      <c r="P117" s="9"/>
    </row>
    <row r="118" spans="1:16" hidden="1" x14ac:dyDescent="0.3">
      <c r="A118" s="2" t="s">
        <v>747</v>
      </c>
      <c r="B118" s="2" t="s">
        <v>123</v>
      </c>
      <c r="C118" s="3">
        <v>46184.710844907408</v>
      </c>
      <c r="D118" t="s">
        <v>718</v>
      </c>
      <c r="E118" s="3" t="s">
        <v>701</v>
      </c>
      <c r="F118" s="2" t="s">
        <v>8</v>
      </c>
      <c r="G118" s="2" t="s">
        <v>726</v>
      </c>
      <c r="H118" s="2" t="s">
        <v>90</v>
      </c>
      <c r="I118" s="2" t="s">
        <v>431</v>
      </c>
      <c r="J118" s="2">
        <v>5</v>
      </c>
      <c r="K118" s="2" t="s">
        <v>10</v>
      </c>
      <c r="L118" s="2">
        <v>98.82</v>
      </c>
      <c r="M118" s="13">
        <v>494.09999999999997</v>
      </c>
      <c r="N118" s="14">
        <v>1633919.5259999998</v>
      </c>
      <c r="O118" s="14"/>
      <c r="P118" s="9"/>
    </row>
    <row r="119" spans="1:16" hidden="1" x14ac:dyDescent="0.3">
      <c r="A119" s="2" t="s">
        <v>747</v>
      </c>
      <c r="B119" s="2" t="s">
        <v>123</v>
      </c>
      <c r="C119" s="3">
        <v>46184.710844907408</v>
      </c>
      <c r="D119" t="s">
        <v>718</v>
      </c>
      <c r="E119" s="3" t="s">
        <v>701</v>
      </c>
      <c r="F119" s="2" t="s">
        <v>8</v>
      </c>
      <c r="G119" s="2" t="s">
        <v>726</v>
      </c>
      <c r="H119" s="2" t="s">
        <v>79</v>
      </c>
      <c r="I119" s="2" t="s">
        <v>454</v>
      </c>
      <c r="J119" s="2">
        <v>19</v>
      </c>
      <c r="K119" s="2" t="s">
        <v>10</v>
      </c>
      <c r="L119" s="2">
        <v>23.49</v>
      </c>
      <c r="M119" s="13">
        <v>446.30999999999995</v>
      </c>
      <c r="N119" s="14">
        <v>1475884.6865999999</v>
      </c>
      <c r="O119" s="14"/>
      <c r="P119" s="9"/>
    </row>
    <row r="120" spans="1:16" hidden="1" x14ac:dyDescent="0.3">
      <c r="A120" s="2" t="s">
        <v>747</v>
      </c>
      <c r="B120" s="2" t="s">
        <v>123</v>
      </c>
      <c r="C120" s="3">
        <v>46184.710844907408</v>
      </c>
      <c r="D120" t="s">
        <v>718</v>
      </c>
      <c r="E120" s="3" t="s">
        <v>701</v>
      </c>
      <c r="F120" s="2" t="s">
        <v>8</v>
      </c>
      <c r="G120" s="2" t="s">
        <v>726</v>
      </c>
      <c r="H120" s="2" t="s">
        <v>83</v>
      </c>
      <c r="I120" s="2" t="s">
        <v>411</v>
      </c>
      <c r="J120" s="2">
        <v>28</v>
      </c>
      <c r="K120" s="2" t="s">
        <v>10</v>
      </c>
      <c r="L120" s="2">
        <v>33.369999999999997</v>
      </c>
      <c r="M120" s="13">
        <v>934.3599999999999</v>
      </c>
      <c r="N120" s="14">
        <v>3089797.7095999997</v>
      </c>
      <c r="O120" s="14"/>
      <c r="P120" s="9"/>
    </row>
    <row r="121" spans="1:16" hidden="1" x14ac:dyDescent="0.3">
      <c r="A121" s="2" t="s">
        <v>747</v>
      </c>
      <c r="B121" s="2" t="s">
        <v>123</v>
      </c>
      <c r="C121" s="3">
        <v>46184.710844907408</v>
      </c>
      <c r="D121" t="s">
        <v>718</v>
      </c>
      <c r="E121" s="3" t="s">
        <v>701</v>
      </c>
      <c r="F121" s="2" t="s">
        <v>8</v>
      </c>
      <c r="G121" s="2" t="s">
        <v>726</v>
      </c>
      <c r="H121" s="2" t="s">
        <v>79</v>
      </c>
      <c r="I121" s="2" t="s">
        <v>455</v>
      </c>
      <c r="J121" s="2">
        <v>28</v>
      </c>
      <c r="K121" s="2" t="s">
        <v>10</v>
      </c>
      <c r="L121" s="2">
        <v>35.909999999999997</v>
      </c>
      <c r="M121" s="13">
        <v>1005.4799999999999</v>
      </c>
      <c r="N121" s="14">
        <v>3324981.5927999998</v>
      </c>
      <c r="O121" s="14"/>
      <c r="P121" s="9"/>
    </row>
    <row r="122" spans="1:16" hidden="1" x14ac:dyDescent="0.3">
      <c r="A122" s="2" t="s">
        <v>747</v>
      </c>
      <c r="B122" s="2" t="s">
        <v>123</v>
      </c>
      <c r="C122" s="3">
        <v>46184.710844907408</v>
      </c>
      <c r="D122" t="s">
        <v>718</v>
      </c>
      <c r="E122" s="3" t="s">
        <v>701</v>
      </c>
      <c r="F122" s="2" t="s">
        <v>8</v>
      </c>
      <c r="G122" s="2" t="s">
        <v>726</v>
      </c>
      <c r="H122" s="2" t="s">
        <v>79</v>
      </c>
      <c r="I122" s="2" t="s">
        <v>456</v>
      </c>
      <c r="J122" s="2">
        <v>168</v>
      </c>
      <c r="K122" s="2" t="s">
        <v>10</v>
      </c>
      <c r="L122" s="2">
        <v>4.95</v>
      </c>
      <c r="M122" s="13">
        <v>831.6</v>
      </c>
      <c r="N122" s="14">
        <v>2749984.7760000001</v>
      </c>
      <c r="O122" s="14"/>
    </row>
    <row r="123" spans="1:16" hidden="1" x14ac:dyDescent="0.3">
      <c r="A123" s="2" t="s">
        <v>747</v>
      </c>
      <c r="B123" s="2" t="s">
        <v>123</v>
      </c>
      <c r="C123" s="3">
        <v>46184.710844907408</v>
      </c>
      <c r="D123" t="s">
        <v>718</v>
      </c>
      <c r="E123" s="3" t="s">
        <v>701</v>
      </c>
      <c r="F123" s="2" t="s">
        <v>8</v>
      </c>
      <c r="G123" s="2" t="s">
        <v>726</v>
      </c>
      <c r="H123" s="2" t="s">
        <v>83</v>
      </c>
      <c r="I123" s="2" t="s">
        <v>457</v>
      </c>
      <c r="J123" s="2">
        <v>28</v>
      </c>
      <c r="K123" s="2" t="s">
        <v>10</v>
      </c>
      <c r="L123" s="2">
        <v>13.19</v>
      </c>
      <c r="M123" s="13">
        <v>369.32</v>
      </c>
      <c r="N123" s="14">
        <v>1221289.5352</v>
      </c>
      <c r="O123" s="14"/>
      <c r="P123" s="9"/>
    </row>
    <row r="124" spans="1:16" hidden="1" x14ac:dyDescent="0.3">
      <c r="A124" s="2" t="s">
        <v>747</v>
      </c>
      <c r="B124" s="2" t="s">
        <v>123</v>
      </c>
      <c r="C124" s="3">
        <v>46184.710844907408</v>
      </c>
      <c r="D124" t="s">
        <v>718</v>
      </c>
      <c r="E124" s="3" t="s">
        <v>701</v>
      </c>
      <c r="F124" s="2" t="s">
        <v>8</v>
      </c>
      <c r="G124" s="2" t="s">
        <v>726</v>
      </c>
      <c r="H124" s="2" t="s">
        <v>79</v>
      </c>
      <c r="I124" s="2" t="s">
        <v>458</v>
      </c>
      <c r="J124" s="2">
        <v>28</v>
      </c>
      <c r="K124" s="2" t="s">
        <v>10</v>
      </c>
      <c r="L124" s="2">
        <v>30.93</v>
      </c>
      <c r="M124" s="13">
        <v>866.04</v>
      </c>
      <c r="N124" s="14">
        <v>2863873.0343999998</v>
      </c>
      <c r="O124" s="14"/>
      <c r="P124" s="9"/>
    </row>
    <row r="125" spans="1:16" hidden="1" x14ac:dyDescent="0.3">
      <c r="A125" s="2" t="s">
        <v>747</v>
      </c>
      <c r="B125" s="2" t="s">
        <v>123</v>
      </c>
      <c r="C125" s="3">
        <v>46184.710844907408</v>
      </c>
      <c r="D125" t="s">
        <v>718</v>
      </c>
      <c r="E125" s="3" t="s">
        <v>701</v>
      </c>
      <c r="F125" s="2" t="s">
        <v>8</v>
      </c>
      <c r="G125" s="2" t="s">
        <v>726</v>
      </c>
      <c r="H125" s="2" t="s">
        <v>83</v>
      </c>
      <c r="I125" s="2" t="s">
        <v>670</v>
      </c>
      <c r="J125" s="2">
        <v>4000</v>
      </c>
      <c r="K125" s="2" t="s">
        <v>10</v>
      </c>
      <c r="L125" s="2">
        <v>1.66</v>
      </c>
      <c r="M125" s="13">
        <v>6640</v>
      </c>
      <c r="N125" s="14">
        <v>21957550.400000002</v>
      </c>
      <c r="O125" s="14"/>
      <c r="P125" s="9"/>
    </row>
    <row r="126" spans="1:16" hidden="1" x14ac:dyDescent="0.3">
      <c r="A126" s="2" t="s">
        <v>747</v>
      </c>
      <c r="B126" s="2" t="s">
        <v>123</v>
      </c>
      <c r="C126" s="3">
        <v>46184.710844907408</v>
      </c>
      <c r="D126" t="s">
        <v>718</v>
      </c>
      <c r="E126" s="3" t="s">
        <v>701</v>
      </c>
      <c r="F126" s="2" t="s">
        <v>8</v>
      </c>
      <c r="G126" s="2" t="s">
        <v>726</v>
      </c>
      <c r="H126" s="2" t="s">
        <v>90</v>
      </c>
      <c r="I126" s="2" t="s">
        <v>460</v>
      </c>
      <c r="J126" s="2">
        <v>8</v>
      </c>
      <c r="K126" s="2" t="s">
        <v>10</v>
      </c>
      <c r="L126" s="2">
        <v>5.58</v>
      </c>
      <c r="M126" s="13">
        <v>44.64</v>
      </c>
      <c r="N126" s="14">
        <v>147618.2304</v>
      </c>
      <c r="O126" s="14"/>
      <c r="P126" s="9"/>
    </row>
    <row r="127" spans="1:16" hidden="1" x14ac:dyDescent="0.3">
      <c r="A127" s="2" t="s">
        <v>747</v>
      </c>
      <c r="B127" s="2" t="s">
        <v>176</v>
      </c>
      <c r="C127" s="3">
        <v>46182.693749999999</v>
      </c>
      <c r="D127" t="s">
        <v>718</v>
      </c>
      <c r="E127" s="3" t="s">
        <v>701</v>
      </c>
      <c r="F127" s="2" t="s">
        <v>8</v>
      </c>
      <c r="G127" s="2" t="s">
        <v>726</v>
      </c>
      <c r="H127" s="2" t="s">
        <v>90</v>
      </c>
      <c r="I127" s="2" t="s">
        <v>671</v>
      </c>
      <c r="J127" s="2">
        <v>1</v>
      </c>
      <c r="K127" s="2" t="s">
        <v>10</v>
      </c>
      <c r="L127" s="2">
        <v>261.24</v>
      </c>
      <c r="M127" s="13">
        <v>261.24</v>
      </c>
      <c r="N127" s="14">
        <v>863884.10640000005</v>
      </c>
      <c r="O127" s="14"/>
      <c r="P127" s="9"/>
    </row>
    <row r="128" spans="1:16" hidden="1" x14ac:dyDescent="0.3">
      <c r="A128" s="2" t="s">
        <v>747</v>
      </c>
      <c r="B128" s="2" t="s">
        <v>176</v>
      </c>
      <c r="C128" s="3">
        <v>46182.693749999999</v>
      </c>
      <c r="D128" t="s">
        <v>718</v>
      </c>
      <c r="E128" s="3" t="s">
        <v>701</v>
      </c>
      <c r="F128" s="2" t="s">
        <v>8</v>
      </c>
      <c r="G128" s="2" t="s">
        <v>726</v>
      </c>
      <c r="H128" s="2" t="s">
        <v>79</v>
      </c>
      <c r="I128" s="2" t="s">
        <v>463</v>
      </c>
      <c r="J128" s="2">
        <v>1</v>
      </c>
      <c r="K128" s="2" t="s">
        <v>10</v>
      </c>
      <c r="L128" s="2">
        <v>48.77</v>
      </c>
      <c r="M128" s="13">
        <v>48.77</v>
      </c>
      <c r="N128" s="14">
        <v>161275.56220000001</v>
      </c>
      <c r="O128" s="14"/>
      <c r="P128" s="9"/>
    </row>
    <row r="129" spans="1:16" hidden="1" x14ac:dyDescent="0.3">
      <c r="A129" s="2" t="s">
        <v>747</v>
      </c>
      <c r="B129" s="2" t="s">
        <v>174</v>
      </c>
      <c r="C129" s="3">
        <v>46176.379201388889</v>
      </c>
      <c r="D129" t="s">
        <v>718</v>
      </c>
      <c r="E129" s="3" t="s">
        <v>701</v>
      </c>
      <c r="F129" s="2" t="s">
        <v>8</v>
      </c>
      <c r="G129" s="2" t="s">
        <v>726</v>
      </c>
      <c r="H129" s="2" t="s">
        <v>79</v>
      </c>
      <c r="I129" s="2" t="s">
        <v>428</v>
      </c>
      <c r="J129" s="2">
        <v>10</v>
      </c>
      <c r="K129" s="2" t="s">
        <v>10</v>
      </c>
      <c r="L129" s="2">
        <v>1.06</v>
      </c>
      <c r="M129" s="13">
        <v>10.600000000000001</v>
      </c>
      <c r="N129" s="14">
        <v>35052.716000000008</v>
      </c>
      <c r="O129" s="14"/>
      <c r="P129" s="9"/>
    </row>
    <row r="130" spans="1:16" hidden="1" x14ac:dyDescent="0.3">
      <c r="A130" s="2" t="s">
        <v>747</v>
      </c>
      <c r="B130" s="2" t="s">
        <v>174</v>
      </c>
      <c r="C130" s="3">
        <v>46176.379201388889</v>
      </c>
      <c r="D130" t="s">
        <v>718</v>
      </c>
      <c r="E130" s="3" t="s">
        <v>701</v>
      </c>
      <c r="F130" s="2" t="s">
        <v>8</v>
      </c>
      <c r="G130" s="2" t="s">
        <v>726</v>
      </c>
      <c r="H130" s="2" t="s">
        <v>79</v>
      </c>
      <c r="I130" s="2" t="s">
        <v>429</v>
      </c>
      <c r="J130" s="2">
        <v>16</v>
      </c>
      <c r="K130" s="2" t="s">
        <v>10</v>
      </c>
      <c r="L130" s="2">
        <v>1.01</v>
      </c>
      <c r="M130" s="13">
        <v>16.16</v>
      </c>
      <c r="N130" s="14">
        <v>53438.857600000003</v>
      </c>
      <c r="O130" s="14"/>
      <c r="P130" s="9"/>
    </row>
    <row r="131" spans="1:16" hidden="1" x14ac:dyDescent="0.3">
      <c r="A131" s="2" t="s">
        <v>747</v>
      </c>
      <c r="B131" s="2" t="s">
        <v>174</v>
      </c>
      <c r="C131" s="3">
        <v>46176.379201388889</v>
      </c>
      <c r="D131" t="s">
        <v>718</v>
      </c>
      <c r="E131" s="3" t="s">
        <v>701</v>
      </c>
      <c r="F131" s="2" t="s">
        <v>8</v>
      </c>
      <c r="G131" s="2" t="s">
        <v>726</v>
      </c>
      <c r="H131" s="2" t="s">
        <v>84</v>
      </c>
      <c r="I131" s="2" t="s">
        <v>461</v>
      </c>
      <c r="J131" s="2">
        <v>5</v>
      </c>
      <c r="K131" s="2" t="s">
        <v>10</v>
      </c>
      <c r="L131" s="2">
        <v>5.59</v>
      </c>
      <c r="M131" s="13">
        <v>27.95</v>
      </c>
      <c r="N131" s="14">
        <v>92426.737000000008</v>
      </c>
      <c r="O131" s="14"/>
      <c r="P131" s="9"/>
    </row>
    <row r="132" spans="1:16" hidden="1" x14ac:dyDescent="0.3">
      <c r="A132" s="2" t="s">
        <v>747</v>
      </c>
      <c r="B132" s="2" t="s">
        <v>174</v>
      </c>
      <c r="C132" s="3">
        <v>46176.379201388889</v>
      </c>
      <c r="D132" t="s">
        <v>718</v>
      </c>
      <c r="E132" s="3" t="s">
        <v>701</v>
      </c>
      <c r="F132" s="2" t="s">
        <v>8</v>
      </c>
      <c r="G132" s="2" t="s">
        <v>726</v>
      </c>
      <c r="H132" s="2" t="s">
        <v>84</v>
      </c>
      <c r="I132" s="2" t="s">
        <v>462</v>
      </c>
      <c r="J132" s="2">
        <v>5</v>
      </c>
      <c r="K132" s="2" t="s">
        <v>10</v>
      </c>
      <c r="L132" s="2">
        <v>7.05</v>
      </c>
      <c r="M132" s="13">
        <v>35.25</v>
      </c>
      <c r="N132" s="14">
        <v>116566.815</v>
      </c>
      <c r="O132" s="14"/>
      <c r="P132" s="9"/>
    </row>
    <row r="133" spans="1:16" hidden="1" x14ac:dyDescent="0.3">
      <c r="A133" s="2" t="s">
        <v>747</v>
      </c>
      <c r="B133" s="2" t="s">
        <v>180</v>
      </c>
      <c r="C133" s="3">
        <v>46174.680208333331</v>
      </c>
      <c r="D133" t="s">
        <v>718</v>
      </c>
      <c r="E133" s="3" t="s">
        <v>701</v>
      </c>
      <c r="F133" s="2" t="s">
        <v>2</v>
      </c>
      <c r="G133" s="2" t="s">
        <v>726</v>
      </c>
      <c r="H133" s="2" t="s">
        <v>605</v>
      </c>
      <c r="I133" s="2" t="s">
        <v>464</v>
      </c>
      <c r="J133" s="2">
        <v>2</v>
      </c>
      <c r="K133" s="2" t="s">
        <v>10</v>
      </c>
      <c r="L133" s="2">
        <v>1526</v>
      </c>
      <c r="M133" s="13">
        <v>3052</v>
      </c>
      <c r="N133" s="14">
        <v>10092536.720000001</v>
      </c>
      <c r="O133" s="14"/>
      <c r="P133" s="9"/>
    </row>
    <row r="134" spans="1:16" hidden="1" x14ac:dyDescent="0.3">
      <c r="A134" s="2" t="s">
        <v>747</v>
      </c>
      <c r="B134" s="2" t="s">
        <v>140</v>
      </c>
      <c r="C134" s="3">
        <v>46171.654178240737</v>
      </c>
      <c r="D134" t="s">
        <v>717</v>
      </c>
      <c r="E134" s="3" t="s">
        <v>701</v>
      </c>
      <c r="F134" s="2" t="s">
        <v>1</v>
      </c>
      <c r="G134" s="2" t="s">
        <v>1</v>
      </c>
      <c r="H134" s="2"/>
      <c r="I134" s="2" t="s">
        <v>426</v>
      </c>
      <c r="J134" s="2">
        <v>448</v>
      </c>
      <c r="K134" s="2" t="s">
        <v>0</v>
      </c>
      <c r="L134" s="2">
        <v>62034</v>
      </c>
      <c r="M134" s="13">
        <v>27791232</v>
      </c>
      <c r="N134" s="14">
        <v>27791232</v>
      </c>
      <c r="O134" s="14"/>
    </row>
    <row r="135" spans="1:16" hidden="1" x14ac:dyDescent="0.3">
      <c r="A135" s="2" t="s">
        <v>747</v>
      </c>
      <c r="B135" s="2" t="s">
        <v>140</v>
      </c>
      <c r="C135" s="3">
        <v>46171.654178240737</v>
      </c>
      <c r="D135" t="s">
        <v>717</v>
      </c>
      <c r="E135" s="3" t="s">
        <v>701</v>
      </c>
      <c r="F135" s="2" t="s">
        <v>1</v>
      </c>
      <c r="G135" s="2" t="s">
        <v>1</v>
      </c>
      <c r="H135" s="2"/>
      <c r="I135" s="2" t="s">
        <v>420</v>
      </c>
      <c r="J135" s="2">
        <v>320</v>
      </c>
      <c r="K135" s="2" t="s">
        <v>0</v>
      </c>
      <c r="L135" s="2">
        <v>75080</v>
      </c>
      <c r="M135" s="13">
        <v>24025600</v>
      </c>
      <c r="N135" s="14">
        <v>24025600</v>
      </c>
      <c r="O135" s="14"/>
    </row>
    <row r="136" spans="1:16" hidden="1" x14ac:dyDescent="0.3">
      <c r="A136" s="2" t="s">
        <v>747</v>
      </c>
      <c r="B136" s="2" t="s">
        <v>140</v>
      </c>
      <c r="C136" s="3">
        <v>46171.654178240737</v>
      </c>
      <c r="D136" t="s">
        <v>717</v>
      </c>
      <c r="E136" s="3" t="s">
        <v>701</v>
      </c>
      <c r="F136" s="2" t="s">
        <v>1</v>
      </c>
      <c r="G136" s="2" t="s">
        <v>1</v>
      </c>
      <c r="H136" s="2"/>
      <c r="I136" s="2" t="s">
        <v>468</v>
      </c>
      <c r="J136" s="2">
        <v>7</v>
      </c>
      <c r="K136" s="2" t="s">
        <v>0</v>
      </c>
      <c r="L136" s="2">
        <v>74250</v>
      </c>
      <c r="M136" s="13">
        <v>519750</v>
      </c>
      <c r="N136" s="14">
        <v>519750</v>
      </c>
      <c r="O136" s="14"/>
      <c r="P136" s="9"/>
    </row>
    <row r="137" spans="1:16" hidden="1" x14ac:dyDescent="0.3">
      <c r="A137" s="2" t="s">
        <v>747</v>
      </c>
      <c r="B137" s="2" t="s">
        <v>140</v>
      </c>
      <c r="C137" s="3">
        <v>46171.654178240737</v>
      </c>
      <c r="D137" t="s">
        <v>717</v>
      </c>
      <c r="E137" s="3" t="s">
        <v>701</v>
      </c>
      <c r="F137" s="2" t="s">
        <v>1</v>
      </c>
      <c r="G137" s="2" t="s">
        <v>1</v>
      </c>
      <c r="H137" s="2"/>
      <c r="I137" s="2" t="s">
        <v>469</v>
      </c>
      <c r="J137" s="2">
        <v>7</v>
      </c>
      <c r="K137" s="2" t="s">
        <v>0</v>
      </c>
      <c r="L137" s="2">
        <v>85050</v>
      </c>
      <c r="M137" s="13">
        <v>595350</v>
      </c>
      <c r="N137" s="14">
        <v>595350</v>
      </c>
      <c r="O137" s="14"/>
      <c r="P137" s="9"/>
    </row>
    <row r="138" spans="1:16" hidden="1" x14ac:dyDescent="0.3">
      <c r="A138" s="2" t="s">
        <v>747</v>
      </c>
      <c r="B138" s="2" t="s">
        <v>140</v>
      </c>
      <c r="C138" s="3">
        <v>46171.654178240737</v>
      </c>
      <c r="D138" t="s">
        <v>717</v>
      </c>
      <c r="E138" s="3" t="s">
        <v>701</v>
      </c>
      <c r="F138" s="2" t="s">
        <v>1</v>
      </c>
      <c r="G138" s="2" t="s">
        <v>1</v>
      </c>
      <c r="H138" s="2"/>
      <c r="I138" s="2" t="s">
        <v>418</v>
      </c>
      <c r="J138" s="2">
        <v>7</v>
      </c>
      <c r="K138" s="2" t="s">
        <v>0</v>
      </c>
      <c r="L138" s="2">
        <v>9160</v>
      </c>
      <c r="M138" s="13">
        <v>64120</v>
      </c>
      <c r="N138" s="14">
        <v>64120</v>
      </c>
      <c r="O138" s="14"/>
      <c r="P138" s="9"/>
    </row>
    <row r="139" spans="1:16" hidden="1" x14ac:dyDescent="0.3">
      <c r="A139" s="2" t="s">
        <v>747</v>
      </c>
      <c r="B139" s="2" t="s">
        <v>185</v>
      </c>
      <c r="C139" s="3">
        <v>46170.671319444453</v>
      </c>
      <c r="D139" t="s">
        <v>717</v>
      </c>
      <c r="E139" s="3" t="s">
        <v>701</v>
      </c>
      <c r="F139" s="2" t="s">
        <v>1</v>
      </c>
      <c r="G139" s="2" t="s">
        <v>1</v>
      </c>
      <c r="H139" s="2"/>
      <c r="I139" s="2" t="s">
        <v>414</v>
      </c>
      <c r="J139" s="2">
        <v>2</v>
      </c>
      <c r="K139" s="2" t="s">
        <v>0</v>
      </c>
      <c r="L139" s="2">
        <v>170500</v>
      </c>
      <c r="M139" s="13">
        <v>341000</v>
      </c>
      <c r="N139" s="14">
        <v>341000</v>
      </c>
      <c r="O139" s="14"/>
    </row>
    <row r="140" spans="1:16" hidden="1" x14ac:dyDescent="0.3">
      <c r="A140" s="2" t="s">
        <v>747</v>
      </c>
      <c r="B140" s="2" t="s">
        <v>154</v>
      </c>
      <c r="C140" s="3">
        <v>46169.653645833343</v>
      </c>
      <c r="D140" t="s">
        <v>717</v>
      </c>
      <c r="E140" s="3" t="s">
        <v>701</v>
      </c>
      <c r="F140" s="2" t="s">
        <v>1</v>
      </c>
      <c r="G140" s="2" t="s">
        <v>1</v>
      </c>
      <c r="H140" s="2"/>
      <c r="I140" s="2" t="s">
        <v>426</v>
      </c>
      <c r="J140" s="2">
        <v>32</v>
      </c>
      <c r="K140" s="2" t="s">
        <v>0</v>
      </c>
      <c r="L140" s="2">
        <v>62034</v>
      </c>
      <c r="M140" s="13">
        <v>1985088</v>
      </c>
      <c r="N140" s="14">
        <v>1985088</v>
      </c>
      <c r="O140" s="14"/>
      <c r="P140" s="9"/>
    </row>
    <row r="141" spans="1:16" hidden="1" x14ac:dyDescent="0.3">
      <c r="A141" s="2" t="s">
        <v>747</v>
      </c>
      <c r="B141" s="2" t="s">
        <v>12</v>
      </c>
      <c r="C141" s="3">
        <v>46169.65284722222</v>
      </c>
      <c r="D141" t="s">
        <v>717</v>
      </c>
      <c r="E141" s="3" t="s">
        <v>701</v>
      </c>
      <c r="F141" s="2" t="s">
        <v>1</v>
      </c>
      <c r="G141" s="2" t="s">
        <v>1</v>
      </c>
      <c r="H141" s="2"/>
      <c r="I141" s="2" t="s">
        <v>398</v>
      </c>
      <c r="J141" s="2">
        <v>10</v>
      </c>
      <c r="K141" s="2" t="s">
        <v>0</v>
      </c>
      <c r="L141" s="2">
        <v>81730</v>
      </c>
      <c r="M141" s="13">
        <v>817300</v>
      </c>
      <c r="N141" s="14">
        <v>817300</v>
      </c>
      <c r="O141" s="14"/>
      <c r="P141" s="9"/>
    </row>
    <row r="142" spans="1:16" hidden="1" x14ac:dyDescent="0.3">
      <c r="A142" s="2" t="s">
        <v>747</v>
      </c>
      <c r="B142" s="2" t="s">
        <v>12</v>
      </c>
      <c r="C142" s="3">
        <v>46169.65284722222</v>
      </c>
      <c r="D142" t="s">
        <v>717</v>
      </c>
      <c r="E142" s="3" t="s">
        <v>701</v>
      </c>
      <c r="F142" s="2" t="s">
        <v>1</v>
      </c>
      <c r="G142" s="2" t="s">
        <v>1</v>
      </c>
      <c r="H142" s="2"/>
      <c r="I142" s="2" t="s">
        <v>673</v>
      </c>
      <c r="J142" s="2">
        <v>0</v>
      </c>
      <c r="K142" s="2" t="s">
        <v>0</v>
      </c>
      <c r="L142" s="2">
        <v>44763</v>
      </c>
      <c r="M142" s="13">
        <v>0</v>
      </c>
      <c r="N142" s="14">
        <v>0</v>
      </c>
      <c r="O142" s="14"/>
      <c r="P142" s="9"/>
    </row>
    <row r="143" spans="1:16" hidden="1" x14ac:dyDescent="0.3">
      <c r="A143" s="2" t="s">
        <v>747</v>
      </c>
      <c r="B143" s="2" t="s">
        <v>12</v>
      </c>
      <c r="C143" s="3">
        <v>46169.65284722222</v>
      </c>
      <c r="D143" t="s">
        <v>717</v>
      </c>
      <c r="E143" s="3" t="s">
        <v>701</v>
      </c>
      <c r="F143" s="2" t="s">
        <v>1</v>
      </c>
      <c r="G143" s="2" t="s">
        <v>1</v>
      </c>
      <c r="H143" s="2"/>
      <c r="I143" s="2" t="s">
        <v>674</v>
      </c>
      <c r="J143" s="2">
        <v>0</v>
      </c>
      <c r="K143" s="2" t="s">
        <v>0</v>
      </c>
      <c r="L143" s="2">
        <v>0</v>
      </c>
      <c r="M143" s="13">
        <v>0</v>
      </c>
      <c r="N143" s="14">
        <v>0</v>
      </c>
      <c r="O143" s="14"/>
      <c r="P143" s="9"/>
    </row>
    <row r="144" spans="1:16" hidden="1" x14ac:dyDescent="0.3">
      <c r="A144" s="2" t="s">
        <v>747</v>
      </c>
      <c r="B144" s="2" t="s">
        <v>12</v>
      </c>
      <c r="C144" s="3">
        <v>46169.65284722222</v>
      </c>
      <c r="D144" t="s">
        <v>717</v>
      </c>
      <c r="E144" s="3" t="s">
        <v>701</v>
      </c>
      <c r="F144" s="2" t="s">
        <v>1</v>
      </c>
      <c r="G144" s="2" t="s">
        <v>1</v>
      </c>
      <c r="H144" s="2"/>
      <c r="I144" s="2" t="s">
        <v>399</v>
      </c>
      <c r="J144" s="2">
        <v>0</v>
      </c>
      <c r="K144" s="2" t="s">
        <v>0</v>
      </c>
      <c r="L144" s="2">
        <v>250580</v>
      </c>
      <c r="M144" s="13">
        <v>0</v>
      </c>
      <c r="N144" s="14">
        <v>0</v>
      </c>
      <c r="O144" s="14"/>
      <c r="P144" s="9"/>
    </row>
    <row r="145" spans="1:16" hidden="1" x14ac:dyDescent="0.3">
      <c r="A145" s="2" t="s">
        <v>747</v>
      </c>
      <c r="B145" s="2" t="s">
        <v>12</v>
      </c>
      <c r="C145" s="3">
        <v>46169.65284722222</v>
      </c>
      <c r="D145" t="s">
        <v>717</v>
      </c>
      <c r="E145" s="3" t="s">
        <v>701</v>
      </c>
      <c r="F145" s="2" t="s">
        <v>1</v>
      </c>
      <c r="G145" s="2" t="s">
        <v>1</v>
      </c>
      <c r="H145" s="2"/>
      <c r="I145" s="2" t="s">
        <v>468</v>
      </c>
      <c r="J145" s="2">
        <v>4</v>
      </c>
      <c r="K145" s="2" t="s">
        <v>0</v>
      </c>
      <c r="L145" s="2">
        <v>97250</v>
      </c>
      <c r="M145" s="13">
        <v>389000</v>
      </c>
      <c r="N145" s="14">
        <v>389000</v>
      </c>
      <c r="O145" s="14"/>
    </row>
    <row r="146" spans="1:16" hidden="1" x14ac:dyDescent="0.3">
      <c r="A146" s="2" t="s">
        <v>747</v>
      </c>
      <c r="B146" s="2" t="s">
        <v>12</v>
      </c>
      <c r="C146" s="3">
        <v>46169.65284722222</v>
      </c>
      <c r="D146" t="s">
        <v>717</v>
      </c>
      <c r="E146" s="3" t="s">
        <v>701</v>
      </c>
      <c r="F146" s="2" t="s">
        <v>1</v>
      </c>
      <c r="G146" s="2" t="s">
        <v>1</v>
      </c>
      <c r="H146" s="2"/>
      <c r="I146" s="2" t="s">
        <v>469</v>
      </c>
      <c r="J146" s="2">
        <v>6</v>
      </c>
      <c r="K146" s="2" t="s">
        <v>0</v>
      </c>
      <c r="L146" s="2">
        <v>111375</v>
      </c>
      <c r="M146" s="13">
        <v>668250</v>
      </c>
      <c r="N146" s="14">
        <v>668250</v>
      </c>
      <c r="O146" s="14"/>
    </row>
    <row r="147" spans="1:16" hidden="1" x14ac:dyDescent="0.3">
      <c r="A147" s="2" t="s">
        <v>747</v>
      </c>
      <c r="B147" s="2" t="s">
        <v>12</v>
      </c>
      <c r="C147" s="3">
        <v>46169.65284722222</v>
      </c>
      <c r="D147" t="s">
        <v>717</v>
      </c>
      <c r="E147" s="3" t="s">
        <v>701</v>
      </c>
      <c r="F147" s="2" t="s">
        <v>1</v>
      </c>
      <c r="G147" s="2" t="s">
        <v>1</v>
      </c>
      <c r="H147" s="2"/>
      <c r="I147" s="2" t="s">
        <v>418</v>
      </c>
      <c r="J147" s="2">
        <v>8</v>
      </c>
      <c r="K147" s="2" t="s">
        <v>0</v>
      </c>
      <c r="L147" s="2">
        <v>119900</v>
      </c>
      <c r="M147" s="13">
        <v>959200</v>
      </c>
      <c r="N147" s="14">
        <v>959200</v>
      </c>
      <c r="O147" s="14"/>
    </row>
    <row r="148" spans="1:16" hidden="1" x14ac:dyDescent="0.3">
      <c r="A148" s="2" t="s">
        <v>747</v>
      </c>
      <c r="B148" s="2" t="s">
        <v>12</v>
      </c>
      <c r="C148" s="3">
        <v>46169.65284722222</v>
      </c>
      <c r="D148" t="s">
        <v>717</v>
      </c>
      <c r="E148" s="3" t="s">
        <v>701</v>
      </c>
      <c r="F148" s="2" t="s">
        <v>1</v>
      </c>
      <c r="G148" s="2" t="s">
        <v>1</v>
      </c>
      <c r="H148" s="2"/>
      <c r="I148" s="2" t="s">
        <v>471</v>
      </c>
      <c r="J148" s="2">
        <v>4</v>
      </c>
      <c r="K148" s="2" t="s">
        <v>0</v>
      </c>
      <c r="L148" s="2">
        <v>374000</v>
      </c>
      <c r="M148" s="13">
        <v>1496000</v>
      </c>
      <c r="N148" s="14">
        <v>1496000</v>
      </c>
      <c r="O148" s="14"/>
    </row>
    <row r="149" spans="1:16" hidden="1" x14ac:dyDescent="0.3">
      <c r="A149" s="2" t="s">
        <v>747</v>
      </c>
      <c r="B149" s="2" t="s">
        <v>12</v>
      </c>
      <c r="C149" s="3">
        <v>46169.65284722222</v>
      </c>
      <c r="D149" t="s">
        <v>717</v>
      </c>
      <c r="E149" s="3" t="s">
        <v>701</v>
      </c>
      <c r="F149" s="2" t="s">
        <v>1</v>
      </c>
      <c r="G149" s="2" t="s">
        <v>1</v>
      </c>
      <c r="H149" s="2"/>
      <c r="I149" s="2" t="s">
        <v>472</v>
      </c>
      <c r="J149" s="2">
        <v>16</v>
      </c>
      <c r="K149" s="2" t="s">
        <v>0</v>
      </c>
      <c r="L149" s="2">
        <v>396875</v>
      </c>
      <c r="M149" s="13">
        <v>6350000</v>
      </c>
      <c r="N149" s="14">
        <v>6350000</v>
      </c>
      <c r="O149" s="14"/>
    </row>
    <row r="150" spans="1:16" hidden="1" x14ac:dyDescent="0.3">
      <c r="A150" s="2" t="s">
        <v>747</v>
      </c>
      <c r="B150" s="2" t="s">
        <v>13</v>
      </c>
      <c r="C150" s="3">
        <v>46167.727893518517</v>
      </c>
      <c r="D150" t="s">
        <v>717</v>
      </c>
      <c r="E150" s="3" t="s">
        <v>701</v>
      </c>
      <c r="F150" s="2" t="s">
        <v>1</v>
      </c>
      <c r="G150" s="2" t="s">
        <v>1</v>
      </c>
      <c r="H150" s="2"/>
      <c r="I150" s="2" t="s">
        <v>478</v>
      </c>
      <c r="J150" s="2">
        <v>1</v>
      </c>
      <c r="K150" s="2" t="s">
        <v>10</v>
      </c>
      <c r="L150" s="2">
        <v>647.12</v>
      </c>
      <c r="M150" s="13">
        <v>647.12</v>
      </c>
      <c r="N150" s="14">
        <v>2139935.2431999999</v>
      </c>
      <c r="O150" s="14"/>
      <c r="P150" s="9"/>
    </row>
    <row r="151" spans="1:16" hidden="1" x14ac:dyDescent="0.3">
      <c r="A151" s="2" t="s">
        <v>747</v>
      </c>
      <c r="B151" s="2" t="s">
        <v>13</v>
      </c>
      <c r="C151" s="3">
        <v>46167.727893518517</v>
      </c>
      <c r="D151" t="s">
        <v>717</v>
      </c>
      <c r="E151" s="3" t="s">
        <v>701</v>
      </c>
      <c r="F151" s="2" t="s">
        <v>8</v>
      </c>
      <c r="G151" s="2" t="s">
        <v>726</v>
      </c>
      <c r="H151" s="2" t="s">
        <v>82</v>
      </c>
      <c r="I151" s="2" t="s">
        <v>408</v>
      </c>
      <c r="J151" s="2">
        <v>1</v>
      </c>
      <c r="K151" s="2" t="s">
        <v>10</v>
      </c>
      <c r="L151" s="2">
        <v>94.72</v>
      </c>
      <c r="M151" s="13">
        <v>94.72</v>
      </c>
      <c r="N151" s="14">
        <v>313225.77919999999</v>
      </c>
      <c r="O151" s="14"/>
      <c r="P151" s="9"/>
    </row>
    <row r="152" spans="1:16" hidden="1" x14ac:dyDescent="0.3">
      <c r="A152" s="2" t="s">
        <v>747</v>
      </c>
      <c r="B152" s="2" t="s">
        <v>13</v>
      </c>
      <c r="C152" s="3">
        <v>46167.727893518517</v>
      </c>
      <c r="D152" t="s">
        <v>717</v>
      </c>
      <c r="E152" s="3" t="s">
        <v>701</v>
      </c>
      <c r="F152" s="2" t="s">
        <v>8</v>
      </c>
      <c r="G152" s="2" t="s">
        <v>726</v>
      </c>
      <c r="H152" s="2" t="s">
        <v>79</v>
      </c>
      <c r="I152" s="2" t="s">
        <v>388</v>
      </c>
      <c r="J152" s="2">
        <v>1</v>
      </c>
      <c r="K152" s="2" t="s">
        <v>10</v>
      </c>
      <c r="L152" s="2">
        <v>87.93</v>
      </c>
      <c r="M152" s="13">
        <v>87.93</v>
      </c>
      <c r="N152" s="14">
        <v>290772.19980000006</v>
      </c>
      <c r="O152" s="14"/>
      <c r="P152" s="9"/>
    </row>
    <row r="153" spans="1:16" hidden="1" x14ac:dyDescent="0.3">
      <c r="A153" s="2" t="s">
        <v>747</v>
      </c>
      <c r="B153" s="2" t="s">
        <v>13</v>
      </c>
      <c r="C153" s="3">
        <v>46167.727893518517</v>
      </c>
      <c r="D153" t="s">
        <v>717</v>
      </c>
      <c r="E153" s="3" t="s">
        <v>701</v>
      </c>
      <c r="F153" s="2" t="s">
        <v>8</v>
      </c>
      <c r="G153" s="2" t="s">
        <v>726</v>
      </c>
      <c r="H153" s="2" t="s">
        <v>79</v>
      </c>
      <c r="I153" s="2" t="s">
        <v>458</v>
      </c>
      <c r="J153" s="2">
        <v>2</v>
      </c>
      <c r="K153" s="2" t="s">
        <v>10</v>
      </c>
      <c r="L153" s="2">
        <v>47.99</v>
      </c>
      <c r="M153" s="13">
        <v>95.98</v>
      </c>
      <c r="N153" s="14">
        <v>317392.4228</v>
      </c>
      <c r="O153" s="14"/>
    </row>
    <row r="154" spans="1:16" hidden="1" x14ac:dyDescent="0.3">
      <c r="A154" s="2" t="s">
        <v>747</v>
      </c>
      <c r="B154" s="2" t="s">
        <v>13</v>
      </c>
      <c r="C154" s="3">
        <v>46167.727893518517</v>
      </c>
      <c r="D154" t="s">
        <v>717</v>
      </c>
      <c r="E154" s="3" t="s">
        <v>701</v>
      </c>
      <c r="F154" s="2" t="s">
        <v>8</v>
      </c>
      <c r="G154" s="2" t="s">
        <v>726</v>
      </c>
      <c r="H154" s="2" t="s">
        <v>83</v>
      </c>
      <c r="I154" s="2" t="s">
        <v>479</v>
      </c>
      <c r="J154" s="2">
        <v>4</v>
      </c>
      <c r="K154" s="2" t="s">
        <v>10</v>
      </c>
      <c r="L154" s="2">
        <v>18.84</v>
      </c>
      <c r="M154" s="13">
        <v>75.36</v>
      </c>
      <c r="N154" s="14">
        <v>249204.96960000001</v>
      </c>
      <c r="O154" s="14"/>
    </row>
    <row r="155" spans="1:16" hidden="1" x14ac:dyDescent="0.3">
      <c r="A155" s="2" t="s">
        <v>747</v>
      </c>
      <c r="B155" s="2" t="s">
        <v>13</v>
      </c>
      <c r="C155" s="3">
        <v>46167.727893518517</v>
      </c>
      <c r="D155" t="s">
        <v>717</v>
      </c>
      <c r="E155" s="3" t="s">
        <v>701</v>
      </c>
      <c r="F155" s="2" t="s">
        <v>8</v>
      </c>
      <c r="G155" s="2" t="s">
        <v>726</v>
      </c>
      <c r="H155" s="2" t="s">
        <v>84</v>
      </c>
      <c r="I155" s="2" t="s">
        <v>419</v>
      </c>
      <c r="J155" s="2">
        <v>15</v>
      </c>
      <c r="K155" s="2" t="s">
        <v>10</v>
      </c>
      <c r="L155" s="2">
        <v>10.91</v>
      </c>
      <c r="M155" s="13">
        <v>163.65</v>
      </c>
      <c r="N155" s="14">
        <v>541167.63900000008</v>
      </c>
      <c r="O155" s="14"/>
    </row>
    <row r="156" spans="1:16" hidden="1" x14ac:dyDescent="0.3">
      <c r="A156" s="2" t="s">
        <v>747</v>
      </c>
      <c r="B156" s="2" t="s">
        <v>13</v>
      </c>
      <c r="C156" s="3">
        <v>46167.727893518517</v>
      </c>
      <c r="D156" t="s">
        <v>717</v>
      </c>
      <c r="E156" s="3" t="s">
        <v>701</v>
      </c>
      <c r="F156" s="2" t="s">
        <v>8</v>
      </c>
      <c r="G156" s="2" t="s">
        <v>726</v>
      </c>
      <c r="H156" s="2" t="s">
        <v>83</v>
      </c>
      <c r="I156" s="2" t="s">
        <v>480</v>
      </c>
      <c r="J156" s="2">
        <v>24</v>
      </c>
      <c r="K156" s="2" t="s">
        <v>10</v>
      </c>
      <c r="L156" s="2">
        <v>27.72</v>
      </c>
      <c r="M156" s="13">
        <v>665.28</v>
      </c>
      <c r="N156" s="14">
        <v>2199987.8207999999</v>
      </c>
      <c r="O156" s="14"/>
    </row>
    <row r="157" spans="1:16" hidden="1" x14ac:dyDescent="0.3">
      <c r="A157" s="2" t="s">
        <v>747</v>
      </c>
      <c r="B157" s="2" t="s">
        <v>14</v>
      </c>
      <c r="C157" s="3">
        <v>46164.385497685187</v>
      </c>
      <c r="D157" t="s">
        <v>717</v>
      </c>
      <c r="E157" s="3" t="s">
        <v>701</v>
      </c>
      <c r="F157" s="2" t="s">
        <v>8</v>
      </c>
      <c r="G157" s="2" t="s">
        <v>726</v>
      </c>
      <c r="H157" s="2" t="s">
        <v>79</v>
      </c>
      <c r="I157" s="2" t="s">
        <v>428</v>
      </c>
      <c r="J157" s="2">
        <v>90</v>
      </c>
      <c r="K157" s="2" t="s">
        <v>10</v>
      </c>
      <c r="L157" s="2">
        <v>1.28</v>
      </c>
      <c r="M157" s="13">
        <v>115.2</v>
      </c>
      <c r="N157" s="14">
        <v>380950.272</v>
      </c>
      <c r="O157" s="14"/>
    </row>
    <row r="158" spans="1:16" hidden="1" x14ac:dyDescent="0.3">
      <c r="A158" s="2" t="s">
        <v>747</v>
      </c>
      <c r="B158" s="2" t="s">
        <v>15</v>
      </c>
      <c r="C158" s="3">
        <v>46162.748900462961</v>
      </c>
      <c r="D158" t="s">
        <v>717</v>
      </c>
      <c r="E158" s="3" t="s">
        <v>701</v>
      </c>
      <c r="F158" s="2" t="s">
        <v>2</v>
      </c>
      <c r="G158" s="2" t="s">
        <v>726</v>
      </c>
      <c r="H158" s="2" t="s">
        <v>80</v>
      </c>
      <c r="I158" s="2" t="s">
        <v>447</v>
      </c>
      <c r="J158" s="2">
        <v>1</v>
      </c>
      <c r="K158" s="2" t="s">
        <v>10</v>
      </c>
      <c r="L158" s="2">
        <v>1024.28</v>
      </c>
      <c r="M158" s="13">
        <v>1024.28</v>
      </c>
      <c r="N158" s="14">
        <v>3387150.5608000001</v>
      </c>
      <c r="O158" s="14"/>
    </row>
    <row r="159" spans="1:16" hidden="1" x14ac:dyDescent="0.3">
      <c r="A159" s="2" t="s">
        <v>747</v>
      </c>
      <c r="B159" s="2" t="s">
        <v>15</v>
      </c>
      <c r="C159" s="3">
        <v>46162.748900462961</v>
      </c>
      <c r="D159" t="s">
        <v>717</v>
      </c>
      <c r="E159" s="3" t="s">
        <v>701</v>
      </c>
      <c r="F159" s="2" t="s">
        <v>2</v>
      </c>
      <c r="G159" s="2" t="s">
        <v>726</v>
      </c>
      <c r="H159" s="2" t="s">
        <v>80</v>
      </c>
      <c r="I159" s="2" t="s">
        <v>427</v>
      </c>
      <c r="J159" s="2">
        <v>2</v>
      </c>
      <c r="K159" s="2" t="s">
        <v>10</v>
      </c>
      <c r="L159" s="2">
        <v>33.49</v>
      </c>
      <c r="M159" s="13">
        <v>66.98</v>
      </c>
      <c r="N159" s="14">
        <v>221493.48280000003</v>
      </c>
      <c r="O159" s="14"/>
    </row>
    <row r="160" spans="1:16" hidden="1" x14ac:dyDescent="0.3">
      <c r="A160" s="2" t="s">
        <v>747</v>
      </c>
      <c r="B160" s="2" t="s">
        <v>15</v>
      </c>
      <c r="C160" s="3">
        <v>46162.748900462961</v>
      </c>
      <c r="D160" t="s">
        <v>717</v>
      </c>
      <c r="E160" s="3" t="s">
        <v>701</v>
      </c>
      <c r="F160" s="2" t="s">
        <v>2</v>
      </c>
      <c r="G160" s="2" t="s">
        <v>726</v>
      </c>
      <c r="H160" s="2" t="s">
        <v>80</v>
      </c>
      <c r="I160" s="2" t="s">
        <v>449</v>
      </c>
      <c r="J160" s="2">
        <v>1</v>
      </c>
      <c r="K160" s="2" t="s">
        <v>10</v>
      </c>
      <c r="L160" s="2">
        <v>390</v>
      </c>
      <c r="M160" s="13">
        <v>390</v>
      </c>
      <c r="N160" s="14">
        <v>1289675.4000000001</v>
      </c>
      <c r="O160" s="14"/>
    </row>
    <row r="161" spans="1:15" hidden="1" x14ac:dyDescent="0.3">
      <c r="A161" s="2" t="s">
        <v>747</v>
      </c>
      <c r="B161" s="2" t="s">
        <v>15</v>
      </c>
      <c r="C161" s="3">
        <v>46162.748900462961</v>
      </c>
      <c r="D161" t="s">
        <v>717</v>
      </c>
      <c r="E161" s="3" t="s">
        <v>701</v>
      </c>
      <c r="F161" s="2" t="s">
        <v>2</v>
      </c>
      <c r="G161" s="2" t="s">
        <v>726</v>
      </c>
      <c r="H161" s="2" t="s">
        <v>80</v>
      </c>
      <c r="I161" s="2" t="s">
        <v>672</v>
      </c>
      <c r="J161" s="2">
        <v>5</v>
      </c>
      <c r="K161" s="2" t="s">
        <v>10</v>
      </c>
      <c r="L161" s="2">
        <v>8311.4699999999993</v>
      </c>
      <c r="M161" s="13">
        <v>41557.35</v>
      </c>
      <c r="N161" s="14">
        <v>137424338.421</v>
      </c>
      <c r="O161" s="14"/>
    </row>
    <row r="162" spans="1:15" hidden="1" x14ac:dyDescent="0.3">
      <c r="A162" s="2" t="s">
        <v>747</v>
      </c>
      <c r="B162" s="2" t="s">
        <v>15</v>
      </c>
      <c r="C162" s="3">
        <v>46162.748900462961</v>
      </c>
      <c r="D162" t="s">
        <v>717</v>
      </c>
      <c r="E162" s="3" t="s">
        <v>701</v>
      </c>
      <c r="F162" s="2" t="s">
        <v>2</v>
      </c>
      <c r="G162" s="2" t="s">
        <v>726</v>
      </c>
      <c r="H162" s="2" t="s">
        <v>80</v>
      </c>
      <c r="I162" s="2" t="s">
        <v>425</v>
      </c>
      <c r="J162" s="2">
        <v>6</v>
      </c>
      <c r="K162" s="2" t="s">
        <v>10</v>
      </c>
      <c r="L162" s="2">
        <v>8311.4699999999993</v>
      </c>
      <c r="M162" s="13">
        <v>49868.819999999992</v>
      </c>
      <c r="N162" s="14">
        <v>164909206.10519999</v>
      </c>
      <c r="O162" s="14"/>
    </row>
    <row r="163" spans="1:15" hidden="1" x14ac:dyDescent="0.3">
      <c r="A163" s="2" t="s">
        <v>747</v>
      </c>
      <c r="B163" s="2" t="s">
        <v>15</v>
      </c>
      <c r="C163" s="3">
        <v>46162.748900462961</v>
      </c>
      <c r="D163" t="s">
        <v>717</v>
      </c>
      <c r="E163" s="3" t="s">
        <v>701</v>
      </c>
      <c r="F163" s="2" t="s">
        <v>2</v>
      </c>
      <c r="G163" s="2" t="s">
        <v>726</v>
      </c>
      <c r="H163" s="2" t="s">
        <v>80</v>
      </c>
      <c r="I163" s="2" t="s">
        <v>425</v>
      </c>
      <c r="J163" s="2">
        <v>1</v>
      </c>
      <c r="K163" s="2" t="s">
        <v>10</v>
      </c>
      <c r="L163" s="2">
        <v>9298.14</v>
      </c>
      <c r="M163" s="13">
        <v>9298.14</v>
      </c>
      <c r="N163" s="14">
        <v>30747647.240399998</v>
      </c>
      <c r="O163" s="14"/>
    </row>
    <row r="164" spans="1:15" hidden="1" x14ac:dyDescent="0.3">
      <c r="A164" s="2" t="s">
        <v>747</v>
      </c>
      <c r="B164" s="2" t="s">
        <v>15</v>
      </c>
      <c r="C164" s="3">
        <v>46162.748900462961</v>
      </c>
      <c r="D164" t="s">
        <v>717</v>
      </c>
      <c r="E164" s="3" t="s">
        <v>701</v>
      </c>
      <c r="F164" s="2" t="s">
        <v>2</v>
      </c>
      <c r="G164" s="2" t="s">
        <v>726</v>
      </c>
      <c r="H164" s="2" t="s">
        <v>80</v>
      </c>
      <c r="I164" s="2" t="s">
        <v>417</v>
      </c>
      <c r="J164" s="2">
        <v>7</v>
      </c>
      <c r="K164" s="2" t="s">
        <v>10</v>
      </c>
      <c r="L164" s="2">
        <v>450</v>
      </c>
      <c r="M164" s="13">
        <v>3150</v>
      </c>
      <c r="N164" s="14">
        <v>10416609</v>
      </c>
      <c r="O164" s="14"/>
    </row>
    <row r="165" spans="1:15" hidden="1" x14ac:dyDescent="0.3">
      <c r="A165" s="2" t="s">
        <v>747</v>
      </c>
      <c r="B165" s="2" t="s">
        <v>15</v>
      </c>
      <c r="C165" s="3">
        <v>46162.748900462961</v>
      </c>
      <c r="D165" t="s">
        <v>717</v>
      </c>
      <c r="E165" s="3" t="s">
        <v>701</v>
      </c>
      <c r="F165" s="2" t="s">
        <v>2</v>
      </c>
      <c r="G165" s="2" t="s">
        <v>726</v>
      </c>
      <c r="H165" s="2" t="s">
        <v>80</v>
      </c>
      <c r="I165" s="2" t="s">
        <v>448</v>
      </c>
      <c r="J165" s="2">
        <v>1</v>
      </c>
      <c r="K165" s="2" t="s">
        <v>10</v>
      </c>
      <c r="L165" s="2">
        <v>1300</v>
      </c>
      <c r="M165" s="13">
        <v>1300</v>
      </c>
      <c r="N165" s="14">
        <v>4298918</v>
      </c>
      <c r="O165" s="14"/>
    </row>
    <row r="166" spans="1:15" hidden="1" x14ac:dyDescent="0.3">
      <c r="A166" s="2" t="s">
        <v>747</v>
      </c>
      <c r="B166" s="2" t="s">
        <v>15</v>
      </c>
      <c r="C166" s="3">
        <v>46162.748900462961</v>
      </c>
      <c r="D166" t="s">
        <v>717</v>
      </c>
      <c r="E166" s="3" t="s">
        <v>701</v>
      </c>
      <c r="F166" s="2" t="s">
        <v>2</v>
      </c>
      <c r="G166" s="2" t="s">
        <v>726</v>
      </c>
      <c r="H166" s="2" t="s">
        <v>80</v>
      </c>
      <c r="I166" s="2" t="s">
        <v>475</v>
      </c>
      <c r="J166" s="2">
        <v>1</v>
      </c>
      <c r="K166" s="2" t="s">
        <v>10</v>
      </c>
      <c r="L166" s="2">
        <v>1900</v>
      </c>
      <c r="M166" s="13">
        <v>1900</v>
      </c>
      <c r="N166" s="14">
        <v>6283034</v>
      </c>
      <c r="O166" s="14"/>
    </row>
    <row r="167" spans="1:15" hidden="1" x14ac:dyDescent="0.3">
      <c r="A167" s="2" t="s">
        <v>747</v>
      </c>
      <c r="B167" s="2" t="s">
        <v>15</v>
      </c>
      <c r="C167" s="3">
        <v>46162.748900462961</v>
      </c>
      <c r="D167" t="s">
        <v>717</v>
      </c>
      <c r="E167" s="3" t="s">
        <v>701</v>
      </c>
      <c r="F167" s="2" t="s">
        <v>2</v>
      </c>
      <c r="G167" s="2" t="s">
        <v>726</v>
      </c>
      <c r="H167" s="2" t="s">
        <v>80</v>
      </c>
      <c r="I167" s="2" t="s">
        <v>474</v>
      </c>
      <c r="J167" s="2">
        <v>48</v>
      </c>
      <c r="K167" s="2" t="s">
        <v>10</v>
      </c>
      <c r="L167" s="2">
        <v>65.680000000000007</v>
      </c>
      <c r="M167" s="13">
        <v>3152.6400000000003</v>
      </c>
      <c r="N167" s="14">
        <v>10425339.110400001</v>
      </c>
      <c r="O167" s="14"/>
    </row>
    <row r="168" spans="1:15" hidden="1" x14ac:dyDescent="0.3">
      <c r="A168" s="2" t="s">
        <v>747</v>
      </c>
      <c r="B168" s="2" t="s">
        <v>15</v>
      </c>
      <c r="C168" s="3">
        <v>46162.748900462961</v>
      </c>
      <c r="D168" t="s">
        <v>717</v>
      </c>
      <c r="E168" s="3" t="s">
        <v>701</v>
      </c>
      <c r="F168" s="2" t="s">
        <v>2</v>
      </c>
      <c r="G168" s="2" t="s">
        <v>726</v>
      </c>
      <c r="H168" s="2" t="s">
        <v>80</v>
      </c>
      <c r="I168" s="2" t="s">
        <v>505</v>
      </c>
      <c r="J168" s="2">
        <v>0</v>
      </c>
      <c r="K168" s="2" t="s">
        <v>10</v>
      </c>
      <c r="L168" s="2">
        <v>14.07</v>
      </c>
      <c r="M168" s="13">
        <v>0</v>
      </c>
      <c r="N168" s="14">
        <v>0</v>
      </c>
      <c r="O168" s="14"/>
    </row>
    <row r="169" spans="1:15" hidden="1" x14ac:dyDescent="0.3">
      <c r="A169" s="2" t="s">
        <v>747</v>
      </c>
      <c r="B169" s="2" t="s">
        <v>16</v>
      </c>
      <c r="C169" s="3">
        <v>46162.748171296298</v>
      </c>
      <c r="D169" t="s">
        <v>717</v>
      </c>
      <c r="E169" s="3" t="s">
        <v>701</v>
      </c>
      <c r="F169" s="2" t="s">
        <v>2</v>
      </c>
      <c r="G169" s="2" t="s">
        <v>726</v>
      </c>
      <c r="H169" s="2" t="s">
        <v>80</v>
      </c>
      <c r="I169" s="2" t="s">
        <v>447</v>
      </c>
      <c r="J169" s="2">
        <v>1</v>
      </c>
      <c r="K169" s="2" t="s">
        <v>10</v>
      </c>
      <c r="L169" s="2">
        <v>1024.28</v>
      </c>
      <c r="M169" s="13">
        <v>1024.28</v>
      </c>
      <c r="N169" s="14">
        <v>3387150.5608000001</v>
      </c>
      <c r="O169" s="14"/>
    </row>
    <row r="170" spans="1:15" hidden="1" x14ac:dyDescent="0.3">
      <c r="A170" s="2" t="s">
        <v>747</v>
      </c>
      <c r="B170" s="2" t="s">
        <v>16</v>
      </c>
      <c r="C170" s="3">
        <v>46162.748171296298</v>
      </c>
      <c r="D170" t="s">
        <v>717</v>
      </c>
      <c r="E170" s="3" t="s">
        <v>701</v>
      </c>
      <c r="F170" s="2" t="s">
        <v>2</v>
      </c>
      <c r="G170" s="2" t="s">
        <v>726</v>
      </c>
      <c r="H170" s="2" t="s">
        <v>80</v>
      </c>
      <c r="I170" s="2" t="s">
        <v>427</v>
      </c>
      <c r="J170" s="2">
        <v>1</v>
      </c>
      <c r="K170" s="2" t="s">
        <v>10</v>
      </c>
      <c r="L170" s="2">
        <v>33.49</v>
      </c>
      <c r="M170" s="13">
        <v>33.49</v>
      </c>
      <c r="N170" s="14">
        <v>110746.74140000001</v>
      </c>
      <c r="O170" s="14"/>
    </row>
    <row r="171" spans="1:15" hidden="1" x14ac:dyDescent="0.3">
      <c r="A171" s="2" t="s">
        <v>747</v>
      </c>
      <c r="B171" s="2" t="s">
        <v>16</v>
      </c>
      <c r="C171" s="3">
        <v>46162.748171296298</v>
      </c>
      <c r="D171" t="s">
        <v>717</v>
      </c>
      <c r="E171" s="3" t="s">
        <v>701</v>
      </c>
      <c r="F171" s="2" t="s">
        <v>2</v>
      </c>
      <c r="G171" s="2" t="s">
        <v>726</v>
      </c>
      <c r="H171" s="2" t="s">
        <v>80</v>
      </c>
      <c r="I171" s="2" t="s">
        <v>672</v>
      </c>
      <c r="J171" s="2">
        <v>3</v>
      </c>
      <c r="K171" s="2" t="s">
        <v>10</v>
      </c>
      <c r="L171" s="2">
        <v>8311.4699999999993</v>
      </c>
      <c r="M171" s="13">
        <v>24934.409999999996</v>
      </c>
      <c r="N171" s="14">
        <v>82454603.052599996</v>
      </c>
      <c r="O171" s="14"/>
    </row>
    <row r="172" spans="1:15" hidden="1" x14ac:dyDescent="0.3">
      <c r="A172" s="2" t="s">
        <v>747</v>
      </c>
      <c r="B172" s="2" t="s">
        <v>16</v>
      </c>
      <c r="C172" s="3">
        <v>46162.748171296298</v>
      </c>
      <c r="D172" t="s">
        <v>717</v>
      </c>
      <c r="E172" s="3" t="s">
        <v>701</v>
      </c>
      <c r="F172" s="2" t="s">
        <v>2</v>
      </c>
      <c r="G172" s="2" t="s">
        <v>726</v>
      </c>
      <c r="H172" s="2" t="s">
        <v>80</v>
      </c>
      <c r="I172" s="2" t="s">
        <v>473</v>
      </c>
      <c r="J172" s="2">
        <v>4</v>
      </c>
      <c r="K172" s="2" t="s">
        <v>10</v>
      </c>
      <c r="L172" s="2">
        <v>8848.14</v>
      </c>
      <c r="M172" s="13">
        <v>35392.559999999998</v>
      </c>
      <c r="N172" s="14">
        <v>117038240.96159999</v>
      </c>
      <c r="O172" s="14"/>
    </row>
    <row r="173" spans="1:15" hidden="1" x14ac:dyDescent="0.3">
      <c r="A173" s="2" t="s">
        <v>747</v>
      </c>
      <c r="B173" s="2" t="s">
        <v>16</v>
      </c>
      <c r="C173" s="3">
        <v>46162.748171296298</v>
      </c>
      <c r="D173" t="s">
        <v>717</v>
      </c>
      <c r="E173" s="3" t="s">
        <v>701</v>
      </c>
      <c r="F173" s="2" t="s">
        <v>2</v>
      </c>
      <c r="G173" s="2" t="s">
        <v>726</v>
      </c>
      <c r="H173" s="2" t="s">
        <v>80</v>
      </c>
      <c r="I173" s="2" t="s">
        <v>417</v>
      </c>
      <c r="J173" s="2">
        <v>11</v>
      </c>
      <c r="K173" s="2" t="s">
        <v>10</v>
      </c>
      <c r="L173" s="2">
        <v>450</v>
      </c>
      <c r="M173" s="13">
        <v>4950</v>
      </c>
      <c r="N173" s="14">
        <v>16368957</v>
      </c>
      <c r="O173" s="14"/>
    </row>
    <row r="174" spans="1:15" hidden="1" x14ac:dyDescent="0.3">
      <c r="A174" s="2" t="s">
        <v>747</v>
      </c>
      <c r="B174" s="2" t="s">
        <v>16</v>
      </c>
      <c r="C174" s="3">
        <v>46162.748171296298</v>
      </c>
      <c r="D174" t="s">
        <v>717</v>
      </c>
      <c r="E174" s="3" t="s">
        <v>701</v>
      </c>
      <c r="F174" s="2" t="s">
        <v>2</v>
      </c>
      <c r="G174" s="2" t="s">
        <v>726</v>
      </c>
      <c r="H174" s="2" t="s">
        <v>80</v>
      </c>
      <c r="I174" s="2" t="s">
        <v>448</v>
      </c>
      <c r="J174" s="2">
        <v>2</v>
      </c>
      <c r="K174" s="2" t="s">
        <v>10</v>
      </c>
      <c r="L174" s="2">
        <v>1300</v>
      </c>
      <c r="M174" s="13">
        <v>2600</v>
      </c>
      <c r="N174" s="14">
        <v>8597836</v>
      </c>
      <c r="O174" s="14"/>
    </row>
    <row r="175" spans="1:15" hidden="1" x14ac:dyDescent="0.3">
      <c r="A175" s="2" t="s">
        <v>747</v>
      </c>
      <c r="B175" s="2" t="s">
        <v>16</v>
      </c>
      <c r="C175" s="3">
        <v>46162.748171296298</v>
      </c>
      <c r="D175" t="s">
        <v>717</v>
      </c>
      <c r="E175" s="3" t="s">
        <v>701</v>
      </c>
      <c r="F175" s="2" t="s">
        <v>2</v>
      </c>
      <c r="G175" s="2" t="s">
        <v>726</v>
      </c>
      <c r="H175" s="2" t="s">
        <v>80</v>
      </c>
      <c r="I175" s="2" t="s">
        <v>505</v>
      </c>
      <c r="J175" s="2">
        <v>0</v>
      </c>
      <c r="K175" s="2" t="s">
        <v>10</v>
      </c>
      <c r="L175" s="2">
        <v>14.07</v>
      </c>
      <c r="M175" s="13">
        <v>0</v>
      </c>
      <c r="N175" s="14">
        <v>0</v>
      </c>
      <c r="O175" s="14"/>
    </row>
    <row r="176" spans="1:15" hidden="1" x14ac:dyDescent="0.3">
      <c r="A176" s="2" t="s">
        <v>747</v>
      </c>
      <c r="B176" s="2" t="s">
        <v>16</v>
      </c>
      <c r="C176" s="3">
        <v>46162.748171296298</v>
      </c>
      <c r="D176" t="s">
        <v>717</v>
      </c>
      <c r="E176" s="3" t="s">
        <v>701</v>
      </c>
      <c r="F176" s="2" t="s">
        <v>2</v>
      </c>
      <c r="G176" s="2" t="s">
        <v>726</v>
      </c>
      <c r="H176" s="2" t="s">
        <v>80</v>
      </c>
      <c r="I176" s="2" t="s">
        <v>474</v>
      </c>
      <c r="J176" s="2">
        <v>68</v>
      </c>
      <c r="K176" s="2" t="s">
        <v>10</v>
      </c>
      <c r="L176" s="2">
        <v>65.680000000000007</v>
      </c>
      <c r="M176" s="13">
        <v>4466.2400000000007</v>
      </c>
      <c r="N176" s="14">
        <v>14769230.406400003</v>
      </c>
      <c r="O176" s="14"/>
    </row>
    <row r="177" spans="1:15" hidden="1" x14ac:dyDescent="0.3">
      <c r="A177" s="2" t="s">
        <v>747</v>
      </c>
      <c r="B177" s="2" t="s">
        <v>17</v>
      </c>
      <c r="C177" s="3">
        <v>46161.528414351851</v>
      </c>
      <c r="D177" t="s">
        <v>717</v>
      </c>
      <c r="E177" s="3" t="s">
        <v>701</v>
      </c>
      <c r="F177" s="2" t="s">
        <v>8</v>
      </c>
      <c r="G177" s="2" t="s">
        <v>726</v>
      </c>
      <c r="H177" s="2" t="s">
        <v>79</v>
      </c>
      <c r="I177" s="2" t="s">
        <v>470</v>
      </c>
      <c r="J177" s="2">
        <v>20</v>
      </c>
      <c r="K177" s="2" t="s">
        <v>10</v>
      </c>
      <c r="L177" s="2">
        <v>47.5</v>
      </c>
      <c r="M177" s="13">
        <v>950</v>
      </c>
      <c r="N177" s="14">
        <v>3141517</v>
      </c>
      <c r="O177" s="14"/>
    </row>
    <row r="178" spans="1:15" hidden="1" x14ac:dyDescent="0.3">
      <c r="A178" s="2" t="s">
        <v>747</v>
      </c>
      <c r="B178" s="2" t="s">
        <v>18</v>
      </c>
      <c r="C178" s="3">
        <v>46161.719317129631</v>
      </c>
      <c r="D178" t="s">
        <v>717</v>
      </c>
      <c r="E178" s="3" t="s">
        <v>701</v>
      </c>
      <c r="F178" s="2" t="s">
        <v>1</v>
      </c>
      <c r="G178" s="2" t="s">
        <v>1</v>
      </c>
      <c r="H178" s="2"/>
      <c r="I178" s="2" t="s">
        <v>675</v>
      </c>
      <c r="J178" s="2">
        <v>1</v>
      </c>
      <c r="K178" s="2" t="s">
        <v>10</v>
      </c>
      <c r="L178" s="2">
        <v>1222.1300000000001</v>
      </c>
      <c r="M178" s="13">
        <v>1222.1300000000001</v>
      </c>
      <c r="N178" s="14">
        <v>4041412.8118000007</v>
      </c>
      <c r="O178" s="14"/>
    </row>
    <row r="179" spans="1:15" hidden="1" x14ac:dyDescent="0.3">
      <c r="A179" s="2" t="s">
        <v>747</v>
      </c>
      <c r="B179" s="2" t="s">
        <v>19</v>
      </c>
      <c r="C179" s="3">
        <v>46142.657187500001</v>
      </c>
      <c r="D179" t="s">
        <v>716</v>
      </c>
      <c r="E179" s="3" t="s">
        <v>701</v>
      </c>
      <c r="F179" s="2" t="s">
        <v>1</v>
      </c>
      <c r="G179" s="2" t="s">
        <v>1</v>
      </c>
      <c r="H179" s="2"/>
      <c r="I179" s="2" t="s">
        <v>489</v>
      </c>
      <c r="J179" s="2">
        <v>6</v>
      </c>
      <c r="K179" s="2" t="s">
        <v>0</v>
      </c>
      <c r="L179" s="2">
        <v>77900</v>
      </c>
      <c r="M179" s="13">
        <v>467400</v>
      </c>
      <c r="N179" s="14">
        <v>467400</v>
      </c>
      <c r="O179" s="14"/>
    </row>
    <row r="180" spans="1:15" hidden="1" x14ac:dyDescent="0.3">
      <c r="A180" s="2" t="s">
        <v>747</v>
      </c>
      <c r="B180" s="2" t="s">
        <v>20</v>
      </c>
      <c r="C180" s="3">
        <v>46141.485914351862</v>
      </c>
      <c r="D180" t="s">
        <v>716</v>
      </c>
      <c r="E180" s="3" t="s">
        <v>701</v>
      </c>
      <c r="F180" s="2" t="s">
        <v>1</v>
      </c>
      <c r="G180" s="2" t="s">
        <v>1</v>
      </c>
      <c r="H180" s="2"/>
      <c r="I180" s="2" t="s">
        <v>396</v>
      </c>
      <c r="J180" s="2">
        <v>0</v>
      </c>
      <c r="K180" s="2" t="s">
        <v>0</v>
      </c>
      <c r="L180" s="2">
        <v>0</v>
      </c>
      <c r="M180" s="13">
        <v>0</v>
      </c>
      <c r="N180" s="14">
        <v>0</v>
      </c>
      <c r="O180" s="14"/>
    </row>
    <row r="181" spans="1:15" hidden="1" x14ac:dyDescent="0.3">
      <c r="A181" s="2" t="s">
        <v>747</v>
      </c>
      <c r="B181" s="2" t="s">
        <v>20</v>
      </c>
      <c r="C181" s="3">
        <v>46141.485914351862</v>
      </c>
      <c r="D181" t="s">
        <v>716</v>
      </c>
      <c r="E181" s="3" t="s">
        <v>701</v>
      </c>
      <c r="F181" s="2" t="s">
        <v>1</v>
      </c>
      <c r="G181" s="2" t="s">
        <v>1</v>
      </c>
      <c r="H181" s="2"/>
      <c r="I181" s="2" t="s">
        <v>490</v>
      </c>
      <c r="J181" s="2">
        <v>1</v>
      </c>
      <c r="K181" s="2" t="s">
        <v>0</v>
      </c>
      <c r="L181" s="2">
        <v>349650</v>
      </c>
      <c r="M181" s="13">
        <v>349650</v>
      </c>
      <c r="N181" s="14">
        <v>349650</v>
      </c>
      <c r="O181" s="14"/>
    </row>
    <row r="182" spans="1:15" hidden="1" x14ac:dyDescent="0.3">
      <c r="A182" s="2" t="s">
        <v>747</v>
      </c>
      <c r="B182" s="2" t="s">
        <v>21</v>
      </c>
      <c r="C182" s="3">
        <v>46140.707083333327</v>
      </c>
      <c r="D182" t="s">
        <v>716</v>
      </c>
      <c r="E182" s="3" t="s">
        <v>701</v>
      </c>
      <c r="F182" s="2" t="s">
        <v>8</v>
      </c>
      <c r="G182" s="2" t="s">
        <v>726</v>
      </c>
      <c r="H182" s="2" t="s">
        <v>82</v>
      </c>
      <c r="I182" s="2" t="s">
        <v>491</v>
      </c>
      <c r="J182" s="2">
        <v>2</v>
      </c>
      <c r="K182" s="2" t="s">
        <v>10</v>
      </c>
      <c r="L182" s="2">
        <v>77.58</v>
      </c>
      <c r="M182" s="13">
        <v>155.16</v>
      </c>
      <c r="N182" s="14">
        <v>513092.39760000003</v>
      </c>
      <c r="O182" s="14"/>
    </row>
    <row r="183" spans="1:15" hidden="1" x14ac:dyDescent="0.3">
      <c r="A183" s="2" t="s">
        <v>747</v>
      </c>
      <c r="B183" s="2" t="s">
        <v>22</v>
      </c>
      <c r="C183" s="3">
        <v>46170.666759259257</v>
      </c>
      <c r="D183" t="s">
        <v>717</v>
      </c>
      <c r="E183" s="3" t="s">
        <v>701</v>
      </c>
      <c r="F183" s="2" t="s">
        <v>8</v>
      </c>
      <c r="G183" s="2" t="s">
        <v>726</v>
      </c>
      <c r="H183" s="2" t="s">
        <v>87</v>
      </c>
      <c r="I183" s="2" t="s">
        <v>466</v>
      </c>
      <c r="J183" s="2">
        <v>122</v>
      </c>
      <c r="K183" s="2" t="s">
        <v>10</v>
      </c>
      <c r="L183" s="2">
        <v>75.64</v>
      </c>
      <c r="M183" s="13">
        <v>9228.08</v>
      </c>
      <c r="N183" s="14">
        <v>30515968.628800001</v>
      </c>
      <c r="O183" s="14"/>
    </row>
    <row r="184" spans="1:15" hidden="1" x14ac:dyDescent="0.3">
      <c r="A184" s="2" t="s">
        <v>747</v>
      </c>
      <c r="B184" s="2" t="s">
        <v>22</v>
      </c>
      <c r="C184" s="3">
        <v>46170.666759259257</v>
      </c>
      <c r="D184" t="s">
        <v>717</v>
      </c>
      <c r="E184" s="3" t="s">
        <v>701</v>
      </c>
      <c r="F184" s="2" t="s">
        <v>8</v>
      </c>
      <c r="G184" s="2" t="s">
        <v>726</v>
      </c>
      <c r="H184" s="2" t="s">
        <v>79</v>
      </c>
      <c r="I184" s="2" t="s">
        <v>410</v>
      </c>
      <c r="J184" s="2">
        <v>15</v>
      </c>
      <c r="K184" s="2" t="s">
        <v>10</v>
      </c>
      <c r="L184" s="2">
        <v>127.22</v>
      </c>
      <c r="M184" s="13">
        <v>1908.3</v>
      </c>
      <c r="N184" s="14">
        <v>6310480.9380000001</v>
      </c>
      <c r="O184" s="14"/>
    </row>
    <row r="185" spans="1:15" hidden="1" x14ac:dyDescent="0.3">
      <c r="A185" s="2" t="s">
        <v>747</v>
      </c>
      <c r="B185" s="2" t="s">
        <v>22</v>
      </c>
      <c r="C185" s="3">
        <v>46170.666759259257</v>
      </c>
      <c r="D185" t="s">
        <v>717</v>
      </c>
      <c r="E185" s="3" t="s">
        <v>701</v>
      </c>
      <c r="F185" s="2" t="s">
        <v>8</v>
      </c>
      <c r="G185" s="2" t="s">
        <v>726</v>
      </c>
      <c r="H185" s="2" t="s">
        <v>79</v>
      </c>
      <c r="I185" s="2" t="s">
        <v>668</v>
      </c>
      <c r="J185" s="2">
        <v>19</v>
      </c>
      <c r="K185" s="2" t="s">
        <v>10</v>
      </c>
      <c r="L185" s="2">
        <v>83.45</v>
      </c>
      <c r="M185" s="13">
        <v>1585.55</v>
      </c>
      <c r="N185" s="14">
        <v>5243191.8729999997</v>
      </c>
      <c r="O185" s="14"/>
    </row>
    <row r="186" spans="1:15" hidden="1" x14ac:dyDescent="0.3">
      <c r="A186" s="2" t="s">
        <v>747</v>
      </c>
      <c r="B186" s="2" t="s">
        <v>22</v>
      </c>
      <c r="C186" s="3">
        <v>46170.666759259257</v>
      </c>
      <c r="D186" t="s">
        <v>717</v>
      </c>
      <c r="E186" s="3" t="s">
        <v>701</v>
      </c>
      <c r="F186" s="2" t="s">
        <v>8</v>
      </c>
      <c r="G186" s="2" t="s">
        <v>726</v>
      </c>
      <c r="H186" s="2" t="s">
        <v>79</v>
      </c>
      <c r="I186" s="2" t="s">
        <v>388</v>
      </c>
      <c r="J186" s="2">
        <v>29</v>
      </c>
      <c r="K186" s="2" t="s">
        <v>10</v>
      </c>
      <c r="L186" s="2">
        <v>69.849999999999994</v>
      </c>
      <c r="M186" s="13">
        <v>2025.6499999999999</v>
      </c>
      <c r="N186" s="14">
        <v>6698540.9589999998</v>
      </c>
      <c r="O186" s="14"/>
    </row>
    <row r="187" spans="1:15" hidden="1" x14ac:dyDescent="0.3">
      <c r="A187" s="2" t="s">
        <v>747</v>
      </c>
      <c r="B187" s="2" t="s">
        <v>22</v>
      </c>
      <c r="C187" s="3">
        <v>46170.666759259257</v>
      </c>
      <c r="D187" t="s">
        <v>717</v>
      </c>
      <c r="E187" s="3" t="s">
        <v>701</v>
      </c>
      <c r="F187" s="2" t="s">
        <v>2</v>
      </c>
      <c r="G187" s="2" t="s">
        <v>726</v>
      </c>
      <c r="H187" s="2" t="s">
        <v>605</v>
      </c>
      <c r="I187" s="2" t="s">
        <v>465</v>
      </c>
      <c r="J187" s="2">
        <v>122</v>
      </c>
      <c r="K187" s="2" t="s">
        <v>10</v>
      </c>
      <c r="L187" s="2">
        <v>791.77</v>
      </c>
      <c r="M187" s="13">
        <v>96595.94</v>
      </c>
      <c r="N187" s="14">
        <v>319429250.14840001</v>
      </c>
      <c r="O187" s="14"/>
    </row>
    <row r="188" spans="1:15" hidden="1" x14ac:dyDescent="0.3">
      <c r="A188" s="2" t="s">
        <v>747</v>
      </c>
      <c r="B188" s="2" t="s">
        <v>23</v>
      </c>
      <c r="C188" s="3">
        <v>46135.531724537039</v>
      </c>
      <c r="D188" t="s">
        <v>716</v>
      </c>
      <c r="E188" s="3" t="s">
        <v>701</v>
      </c>
      <c r="F188" s="2" t="s">
        <v>8</v>
      </c>
      <c r="G188" s="2" t="s">
        <v>726</v>
      </c>
      <c r="H188" s="2" t="s">
        <v>79</v>
      </c>
      <c r="I188" s="2" t="s">
        <v>467</v>
      </c>
      <c r="J188" s="2">
        <v>17</v>
      </c>
      <c r="K188" s="2" t="s">
        <v>10</v>
      </c>
      <c r="L188" s="2">
        <v>83.48</v>
      </c>
      <c r="M188" s="13">
        <v>1419.16</v>
      </c>
      <c r="N188" s="14">
        <v>4692963.4376000008</v>
      </c>
      <c r="O188" s="14"/>
    </row>
    <row r="189" spans="1:15" hidden="1" x14ac:dyDescent="0.3">
      <c r="A189" s="2" t="s">
        <v>747</v>
      </c>
      <c r="B189" s="2" t="s">
        <v>23</v>
      </c>
      <c r="C189" s="3">
        <v>46135.531724537039</v>
      </c>
      <c r="D189" t="s">
        <v>716</v>
      </c>
      <c r="E189" s="3" t="s">
        <v>701</v>
      </c>
      <c r="F189" s="2" t="s">
        <v>8</v>
      </c>
      <c r="G189" s="2" t="s">
        <v>726</v>
      </c>
      <c r="H189" s="2" t="s">
        <v>79</v>
      </c>
      <c r="I189" s="2" t="s">
        <v>668</v>
      </c>
      <c r="J189" s="2">
        <v>0</v>
      </c>
      <c r="K189" s="2" t="s">
        <v>10</v>
      </c>
      <c r="L189" s="2">
        <v>0</v>
      </c>
      <c r="M189" s="13">
        <v>0</v>
      </c>
      <c r="N189" s="14">
        <v>0</v>
      </c>
      <c r="O189" s="14"/>
    </row>
    <row r="190" spans="1:15" hidden="1" x14ac:dyDescent="0.3">
      <c r="A190" s="2" t="s">
        <v>747</v>
      </c>
      <c r="B190" s="2" t="s">
        <v>23</v>
      </c>
      <c r="C190" s="3">
        <v>46135.531724537039</v>
      </c>
      <c r="D190" t="s">
        <v>716</v>
      </c>
      <c r="E190" s="3" t="s">
        <v>701</v>
      </c>
      <c r="F190" s="2" t="s">
        <v>8</v>
      </c>
      <c r="G190" s="2" t="s">
        <v>726</v>
      </c>
      <c r="H190" s="2" t="s">
        <v>79</v>
      </c>
      <c r="I190" s="2" t="s">
        <v>388</v>
      </c>
      <c r="J190" s="2">
        <v>17</v>
      </c>
      <c r="K190" s="2" t="s">
        <v>10</v>
      </c>
      <c r="L190" s="2">
        <v>69.849999999999994</v>
      </c>
      <c r="M190" s="13">
        <v>1187.4499999999998</v>
      </c>
      <c r="N190" s="14">
        <v>3926730.9069999997</v>
      </c>
      <c r="O190" s="14"/>
    </row>
    <row r="191" spans="1:15" hidden="1" x14ac:dyDescent="0.3">
      <c r="A191" s="2" t="s">
        <v>747</v>
      </c>
      <c r="B191" s="2" t="s">
        <v>23</v>
      </c>
      <c r="C191" s="3">
        <v>46135.531724537039</v>
      </c>
      <c r="D191" t="s">
        <v>716</v>
      </c>
      <c r="E191" s="3" t="s">
        <v>701</v>
      </c>
      <c r="F191" s="2" t="s">
        <v>2</v>
      </c>
      <c r="G191" s="2" t="s">
        <v>726</v>
      </c>
      <c r="H191" s="2" t="s">
        <v>605</v>
      </c>
      <c r="I191" s="2" t="s">
        <v>465</v>
      </c>
      <c r="J191" s="2">
        <v>29</v>
      </c>
      <c r="K191" s="2" t="s">
        <v>10</v>
      </c>
      <c r="L191" s="2">
        <v>791.77</v>
      </c>
      <c r="M191" s="13">
        <v>22961.329999999998</v>
      </c>
      <c r="N191" s="14">
        <v>75929903.723800004</v>
      </c>
      <c r="O191" s="14"/>
    </row>
    <row r="192" spans="1:15" hidden="1" x14ac:dyDescent="0.3">
      <c r="A192" s="2" t="s">
        <v>747</v>
      </c>
      <c r="B192" s="2" t="s">
        <v>23</v>
      </c>
      <c r="C192" s="3">
        <v>46135.531724537039</v>
      </c>
      <c r="D192" t="s">
        <v>716</v>
      </c>
      <c r="E192" s="3" t="s">
        <v>701</v>
      </c>
      <c r="F192" s="2" t="s">
        <v>8</v>
      </c>
      <c r="G192" s="2" t="s">
        <v>726</v>
      </c>
      <c r="H192" s="2" t="s">
        <v>82</v>
      </c>
      <c r="I192" s="2" t="s">
        <v>482</v>
      </c>
      <c r="J192" s="2">
        <v>47</v>
      </c>
      <c r="K192" s="2" t="s">
        <v>10</v>
      </c>
      <c r="L192" s="2">
        <v>791.77</v>
      </c>
      <c r="M192" s="13">
        <v>37213.19</v>
      </c>
      <c r="N192" s="14">
        <v>123058809.48340002</v>
      </c>
      <c r="O192" s="14"/>
    </row>
    <row r="193" spans="1:15" hidden="1" x14ac:dyDescent="0.3">
      <c r="A193" s="2" t="s">
        <v>747</v>
      </c>
      <c r="B193" s="2" t="s">
        <v>23</v>
      </c>
      <c r="C193" s="3">
        <v>46135.531724537039</v>
      </c>
      <c r="D193" t="s">
        <v>716</v>
      </c>
      <c r="E193" s="3" t="s">
        <v>701</v>
      </c>
      <c r="F193" s="2" t="s">
        <v>8</v>
      </c>
      <c r="G193" s="2" t="s">
        <v>726</v>
      </c>
      <c r="H193" s="2" t="s">
        <v>79</v>
      </c>
      <c r="I193" s="2" t="s">
        <v>483</v>
      </c>
      <c r="J193" s="2">
        <v>5</v>
      </c>
      <c r="K193" s="2" t="s">
        <v>10</v>
      </c>
      <c r="L193" s="2">
        <v>127.22</v>
      </c>
      <c r="M193" s="13">
        <v>636.1</v>
      </c>
      <c r="N193" s="14">
        <v>2103493.6460000002</v>
      </c>
      <c r="O193" s="14"/>
    </row>
    <row r="194" spans="1:15" hidden="1" x14ac:dyDescent="0.3">
      <c r="A194" s="2" t="s">
        <v>747</v>
      </c>
      <c r="B194" s="2" t="s">
        <v>23</v>
      </c>
      <c r="C194" s="3">
        <v>46135.531724537039</v>
      </c>
      <c r="D194" t="s">
        <v>716</v>
      </c>
      <c r="E194" s="3" t="s">
        <v>701</v>
      </c>
      <c r="F194" s="2" t="s">
        <v>8</v>
      </c>
      <c r="G194" s="2" t="s">
        <v>726</v>
      </c>
      <c r="H194" s="2" t="s">
        <v>79</v>
      </c>
      <c r="I194" s="2" t="s">
        <v>676</v>
      </c>
      <c r="J194" s="2">
        <v>0</v>
      </c>
      <c r="K194" s="2" t="s">
        <v>10</v>
      </c>
      <c r="L194" s="2">
        <v>0</v>
      </c>
      <c r="M194" s="13">
        <v>0</v>
      </c>
      <c r="N194" s="14">
        <v>0</v>
      </c>
      <c r="O194" s="14"/>
    </row>
    <row r="195" spans="1:15" hidden="1" x14ac:dyDescent="0.3">
      <c r="A195" s="2" t="s">
        <v>747</v>
      </c>
      <c r="B195" s="2" t="s">
        <v>24</v>
      </c>
      <c r="C195" s="3">
        <v>46135.528090277781</v>
      </c>
      <c r="D195" t="s">
        <v>716</v>
      </c>
      <c r="E195" s="3" t="s">
        <v>701</v>
      </c>
      <c r="F195" s="2" t="s">
        <v>8</v>
      </c>
      <c r="G195" s="2" t="s">
        <v>726</v>
      </c>
      <c r="H195" s="2" t="s">
        <v>83</v>
      </c>
      <c r="I195" s="2" t="s">
        <v>499</v>
      </c>
      <c r="J195" s="2">
        <v>2</v>
      </c>
      <c r="K195" s="2" t="s">
        <v>10</v>
      </c>
      <c r="L195" s="2">
        <v>32.130000000000003</v>
      </c>
      <c r="M195" s="13">
        <v>64.260000000000005</v>
      </c>
      <c r="N195" s="14">
        <v>212498.82360000003</v>
      </c>
      <c r="O195" s="14"/>
    </row>
    <row r="196" spans="1:15" hidden="1" x14ac:dyDescent="0.3">
      <c r="A196" s="2" t="s">
        <v>747</v>
      </c>
      <c r="B196" s="2" t="s">
        <v>24</v>
      </c>
      <c r="C196" s="3">
        <v>46135.528090277781</v>
      </c>
      <c r="D196" t="s">
        <v>716</v>
      </c>
      <c r="E196" s="3" t="s">
        <v>701</v>
      </c>
      <c r="F196" s="2" t="s">
        <v>8</v>
      </c>
      <c r="G196" s="2" t="s">
        <v>726</v>
      </c>
      <c r="H196" s="2" t="s">
        <v>83</v>
      </c>
      <c r="I196" s="2" t="s">
        <v>500</v>
      </c>
      <c r="J196" s="2">
        <v>2</v>
      </c>
      <c r="K196" s="2" t="s">
        <v>10</v>
      </c>
      <c r="L196" s="2">
        <v>25.1</v>
      </c>
      <c r="M196" s="13">
        <v>50.2</v>
      </c>
      <c r="N196" s="14">
        <v>166004.372</v>
      </c>
      <c r="O196" s="14"/>
    </row>
    <row r="197" spans="1:15" hidden="1" x14ac:dyDescent="0.3">
      <c r="A197" s="2" t="s">
        <v>747</v>
      </c>
      <c r="B197" s="2" t="s">
        <v>25</v>
      </c>
      <c r="C197" s="3">
        <v>46134.696493055562</v>
      </c>
      <c r="D197" t="s">
        <v>716</v>
      </c>
      <c r="E197" s="3" t="s">
        <v>701</v>
      </c>
      <c r="F197" s="2" t="s">
        <v>1</v>
      </c>
      <c r="G197" s="2" t="s">
        <v>1</v>
      </c>
      <c r="H197" s="2"/>
      <c r="I197" s="2" t="s">
        <v>493</v>
      </c>
      <c r="J197" s="2">
        <v>1</v>
      </c>
      <c r="K197" s="2" t="s">
        <v>0</v>
      </c>
      <c r="L197" s="2">
        <v>340200</v>
      </c>
      <c r="M197" s="13">
        <v>340200</v>
      </c>
      <c r="N197" s="14">
        <v>340200</v>
      </c>
      <c r="O197" s="14"/>
    </row>
    <row r="198" spans="1:15" hidden="1" x14ac:dyDescent="0.3">
      <c r="A198" s="2" t="s">
        <v>747</v>
      </c>
      <c r="B198" s="2" t="s">
        <v>26</v>
      </c>
      <c r="C198" s="3">
        <v>46129.370879629627</v>
      </c>
      <c r="D198" t="s">
        <v>716</v>
      </c>
      <c r="E198" s="3" t="s">
        <v>701</v>
      </c>
      <c r="F198" s="2" t="s">
        <v>1</v>
      </c>
      <c r="G198" s="2" t="s">
        <v>1</v>
      </c>
      <c r="H198" s="2"/>
      <c r="I198" s="2" t="s">
        <v>493</v>
      </c>
      <c r="J198" s="2">
        <v>2</v>
      </c>
      <c r="K198" s="2" t="s">
        <v>0</v>
      </c>
      <c r="L198" s="2">
        <v>340200</v>
      </c>
      <c r="M198" s="13">
        <v>680400</v>
      </c>
      <c r="N198" s="14">
        <v>680400</v>
      </c>
      <c r="O198" s="14"/>
    </row>
    <row r="199" spans="1:15" hidden="1" x14ac:dyDescent="0.3">
      <c r="A199" s="2" t="s">
        <v>747</v>
      </c>
      <c r="B199" s="2" t="s">
        <v>26</v>
      </c>
      <c r="C199" s="3">
        <v>46129.370879629627</v>
      </c>
      <c r="D199" t="s">
        <v>716</v>
      </c>
      <c r="E199" s="3" t="s">
        <v>701</v>
      </c>
      <c r="F199" s="2" t="s">
        <v>1</v>
      </c>
      <c r="G199" s="2" t="s">
        <v>1</v>
      </c>
      <c r="H199" s="2"/>
      <c r="I199" s="2" t="s">
        <v>472</v>
      </c>
      <c r="J199" s="2">
        <v>3</v>
      </c>
      <c r="K199" s="2" t="s">
        <v>0</v>
      </c>
      <c r="L199" s="2">
        <v>282450</v>
      </c>
      <c r="M199" s="13">
        <v>847350</v>
      </c>
      <c r="N199" s="14">
        <v>847350</v>
      </c>
      <c r="O199" s="14"/>
    </row>
    <row r="200" spans="1:15" hidden="1" x14ac:dyDescent="0.3">
      <c r="A200" s="2" t="s">
        <v>747</v>
      </c>
      <c r="B200" s="2" t="s">
        <v>27</v>
      </c>
      <c r="C200" s="3">
        <v>46129.363113425927</v>
      </c>
      <c r="D200" t="s">
        <v>716</v>
      </c>
      <c r="E200" s="3" t="s">
        <v>701</v>
      </c>
      <c r="F200" s="2" t="s">
        <v>1</v>
      </c>
      <c r="G200" s="2" t="s">
        <v>1</v>
      </c>
      <c r="H200" s="2"/>
      <c r="I200" s="2" t="s">
        <v>405</v>
      </c>
      <c r="J200" s="2">
        <v>120</v>
      </c>
      <c r="K200" s="2" t="s">
        <v>0</v>
      </c>
      <c r="L200" s="2">
        <v>34320</v>
      </c>
      <c r="M200" s="13">
        <v>4118400</v>
      </c>
      <c r="N200" s="14">
        <v>4118400</v>
      </c>
      <c r="O200" s="14"/>
    </row>
    <row r="201" spans="1:15" hidden="1" x14ac:dyDescent="0.3">
      <c r="A201" s="2" t="s">
        <v>747</v>
      </c>
      <c r="B201" s="2" t="s">
        <v>28</v>
      </c>
      <c r="C201" s="3">
        <v>46126.40351851852</v>
      </c>
      <c r="D201" t="s">
        <v>716</v>
      </c>
      <c r="E201" s="3" t="s">
        <v>701</v>
      </c>
      <c r="F201" s="2" t="s">
        <v>8</v>
      </c>
      <c r="G201" s="2" t="s">
        <v>726</v>
      </c>
      <c r="H201" s="2" t="s">
        <v>88</v>
      </c>
      <c r="I201" s="2" t="s">
        <v>677</v>
      </c>
      <c r="J201" s="2">
        <v>574</v>
      </c>
      <c r="K201" s="2" t="s">
        <v>10</v>
      </c>
      <c r="L201" s="2">
        <v>19.41</v>
      </c>
      <c r="M201" s="13">
        <v>11141.34</v>
      </c>
      <c r="N201" s="14">
        <v>36842851.592399999</v>
      </c>
      <c r="O201" s="14"/>
    </row>
    <row r="202" spans="1:15" hidden="1" x14ac:dyDescent="0.3">
      <c r="A202" s="2" t="s">
        <v>747</v>
      </c>
      <c r="B202" s="2" t="s">
        <v>28</v>
      </c>
      <c r="C202" s="3">
        <v>46126.40351851852</v>
      </c>
      <c r="D202" t="s">
        <v>716</v>
      </c>
      <c r="E202" s="3" t="s">
        <v>701</v>
      </c>
      <c r="F202" s="2" t="s">
        <v>8</v>
      </c>
      <c r="G202" s="2" t="s">
        <v>726</v>
      </c>
      <c r="H202" s="2" t="s">
        <v>84</v>
      </c>
      <c r="I202" s="2" t="s">
        <v>406</v>
      </c>
      <c r="J202" s="2">
        <v>622</v>
      </c>
      <c r="K202" s="2" t="s">
        <v>10</v>
      </c>
      <c r="L202" s="2">
        <v>19.41</v>
      </c>
      <c r="M202" s="13">
        <v>12073.02</v>
      </c>
      <c r="N202" s="14">
        <v>39923786.917200007</v>
      </c>
      <c r="O202" s="14"/>
    </row>
    <row r="203" spans="1:15" hidden="1" x14ac:dyDescent="0.3">
      <c r="A203" s="2" t="s">
        <v>747</v>
      </c>
      <c r="B203" s="2" t="s">
        <v>29</v>
      </c>
      <c r="C203" s="3">
        <v>46121.656342592592</v>
      </c>
      <c r="D203" t="s">
        <v>716</v>
      </c>
      <c r="E203" s="3" t="s">
        <v>701</v>
      </c>
      <c r="F203" s="2" t="s">
        <v>1</v>
      </c>
      <c r="G203" s="2" t="s">
        <v>745</v>
      </c>
      <c r="H203" s="2" t="s">
        <v>79</v>
      </c>
      <c r="I203" s="2" t="s">
        <v>516</v>
      </c>
      <c r="J203" s="2">
        <v>10</v>
      </c>
      <c r="K203" s="2" t="s">
        <v>10</v>
      </c>
      <c r="L203" s="2">
        <v>3.64</v>
      </c>
      <c r="M203" s="13">
        <v>36.4</v>
      </c>
      <c r="N203" s="14">
        <v>120369.704</v>
      </c>
      <c r="O203" s="14"/>
    </row>
    <row r="204" spans="1:15" hidden="1" x14ac:dyDescent="0.3">
      <c r="A204" s="2" t="s">
        <v>747</v>
      </c>
      <c r="B204" s="2" t="s">
        <v>30</v>
      </c>
      <c r="C204" s="3">
        <v>46120.671342592592</v>
      </c>
      <c r="D204" t="s">
        <v>716</v>
      </c>
      <c r="E204" s="3" t="s">
        <v>701</v>
      </c>
      <c r="F204" s="2" t="s">
        <v>1</v>
      </c>
      <c r="G204" s="2" t="s">
        <v>1</v>
      </c>
      <c r="H204" s="2"/>
      <c r="I204" s="2" t="s">
        <v>413</v>
      </c>
      <c r="J204" s="2">
        <v>2330</v>
      </c>
      <c r="K204" s="2" t="s">
        <v>0</v>
      </c>
      <c r="L204" s="2">
        <v>19125</v>
      </c>
      <c r="M204" s="13">
        <v>44561250</v>
      </c>
      <c r="N204" s="14">
        <v>44561250</v>
      </c>
      <c r="O204" s="14"/>
    </row>
    <row r="205" spans="1:15" hidden="1" x14ac:dyDescent="0.3">
      <c r="A205" s="2" t="s">
        <v>747</v>
      </c>
      <c r="B205" s="2" t="s">
        <v>30</v>
      </c>
      <c r="C205" s="3">
        <v>46120.671342592592</v>
      </c>
      <c r="D205" t="s">
        <v>716</v>
      </c>
      <c r="E205" s="3" t="s">
        <v>701</v>
      </c>
      <c r="F205" s="2" t="s">
        <v>1</v>
      </c>
      <c r="G205" s="2" t="s">
        <v>1</v>
      </c>
      <c r="H205" s="2"/>
      <c r="I205" s="2" t="s">
        <v>400</v>
      </c>
      <c r="J205" s="2">
        <v>2390</v>
      </c>
      <c r="K205" s="2" t="s">
        <v>0</v>
      </c>
      <c r="L205" s="2">
        <v>2400</v>
      </c>
      <c r="M205" s="13">
        <v>5736000</v>
      </c>
      <c r="N205" s="14">
        <v>5736000</v>
      </c>
      <c r="O205" s="14"/>
    </row>
    <row r="206" spans="1:15" hidden="1" x14ac:dyDescent="0.3">
      <c r="A206" s="2" t="s">
        <v>747</v>
      </c>
      <c r="B206" s="2" t="s">
        <v>31</v>
      </c>
      <c r="C206" s="3">
        <v>46119.378518518519</v>
      </c>
      <c r="D206" t="s">
        <v>716</v>
      </c>
      <c r="E206" s="3" t="s">
        <v>701</v>
      </c>
      <c r="F206" s="2" t="s">
        <v>1</v>
      </c>
      <c r="G206" s="2" t="s">
        <v>1</v>
      </c>
      <c r="H206" s="2"/>
      <c r="I206" s="2" t="s">
        <v>481</v>
      </c>
      <c r="J206" s="2">
        <v>0</v>
      </c>
      <c r="K206" s="2" t="s">
        <v>0</v>
      </c>
      <c r="L206" s="2">
        <v>1831395</v>
      </c>
      <c r="M206" s="13">
        <v>0</v>
      </c>
      <c r="N206" s="14">
        <v>0</v>
      </c>
      <c r="O206" s="14"/>
    </row>
    <row r="207" spans="1:15" hidden="1" x14ac:dyDescent="0.3">
      <c r="A207" s="2" t="s">
        <v>747</v>
      </c>
      <c r="B207" s="2" t="s">
        <v>32</v>
      </c>
      <c r="C207" s="3">
        <v>46111.573483796303</v>
      </c>
      <c r="D207" t="s">
        <v>692</v>
      </c>
      <c r="E207" s="3" t="s">
        <v>699</v>
      </c>
      <c r="F207" s="2" t="s">
        <v>8</v>
      </c>
      <c r="G207" s="2" t="s">
        <v>726</v>
      </c>
      <c r="H207" s="2" t="s">
        <v>79</v>
      </c>
      <c r="I207" s="2" t="s">
        <v>487</v>
      </c>
      <c r="J207" s="2">
        <v>10</v>
      </c>
      <c r="K207" s="2" t="s">
        <v>0</v>
      </c>
      <c r="L207" s="2">
        <v>16881.77</v>
      </c>
      <c r="M207" s="13">
        <v>168817.7</v>
      </c>
      <c r="N207" s="14">
        <v>168817.7</v>
      </c>
      <c r="O207" s="14"/>
    </row>
    <row r="208" spans="1:15" hidden="1" x14ac:dyDescent="0.3">
      <c r="A208" s="2" t="s">
        <v>747</v>
      </c>
      <c r="B208" s="2" t="s">
        <v>32</v>
      </c>
      <c r="C208" s="3">
        <v>46111.573483796303</v>
      </c>
      <c r="D208" t="s">
        <v>692</v>
      </c>
      <c r="E208" s="3" t="s">
        <v>699</v>
      </c>
      <c r="F208" s="2" t="s">
        <v>8</v>
      </c>
      <c r="G208" s="2" t="s">
        <v>726</v>
      </c>
      <c r="H208" s="2" t="s">
        <v>79</v>
      </c>
      <c r="I208" s="2" t="s">
        <v>519</v>
      </c>
      <c r="J208" s="2">
        <v>10</v>
      </c>
      <c r="K208" s="2" t="s">
        <v>0</v>
      </c>
      <c r="L208" s="2">
        <v>5.36</v>
      </c>
      <c r="M208" s="13">
        <v>53.6</v>
      </c>
      <c r="N208" s="14">
        <v>53.6</v>
      </c>
      <c r="O208" s="14"/>
    </row>
    <row r="209" spans="1:15" hidden="1" x14ac:dyDescent="0.3">
      <c r="A209" s="2" t="s">
        <v>747</v>
      </c>
      <c r="B209" s="2" t="s">
        <v>33</v>
      </c>
      <c r="C209" s="3">
        <v>46107.741574074083</v>
      </c>
      <c r="D209" t="s">
        <v>692</v>
      </c>
      <c r="E209" s="3" t="s">
        <v>699</v>
      </c>
      <c r="F209" s="2" t="s">
        <v>1</v>
      </c>
      <c r="G209" s="2" t="s">
        <v>1</v>
      </c>
      <c r="H209" s="2"/>
      <c r="I209" s="2" t="s">
        <v>420</v>
      </c>
      <c r="J209" s="2">
        <v>64</v>
      </c>
      <c r="K209" s="2" t="s">
        <v>0</v>
      </c>
      <c r="L209" s="2">
        <v>75080</v>
      </c>
      <c r="M209" s="13">
        <v>4805120</v>
      </c>
      <c r="N209" s="14">
        <v>4805120</v>
      </c>
      <c r="O209" s="14"/>
    </row>
    <row r="210" spans="1:15" hidden="1" x14ac:dyDescent="0.3">
      <c r="A210" s="2" t="s">
        <v>747</v>
      </c>
      <c r="B210" s="2" t="s">
        <v>34</v>
      </c>
      <c r="C210" s="3">
        <v>46106.67728009259</v>
      </c>
      <c r="D210" t="s">
        <v>692</v>
      </c>
      <c r="E210" s="3" t="s">
        <v>699</v>
      </c>
      <c r="F210" s="2" t="s">
        <v>1</v>
      </c>
      <c r="G210" s="2" t="s">
        <v>1</v>
      </c>
      <c r="H210" s="2"/>
      <c r="I210" s="2" t="s">
        <v>472</v>
      </c>
      <c r="J210" s="2">
        <v>12</v>
      </c>
      <c r="K210" s="2" t="s">
        <v>0</v>
      </c>
      <c r="L210" s="2">
        <v>282450</v>
      </c>
      <c r="M210" s="13">
        <v>3389400</v>
      </c>
      <c r="N210" s="14">
        <v>3389400</v>
      </c>
      <c r="O210" s="14"/>
    </row>
    <row r="211" spans="1:15" hidden="1" x14ac:dyDescent="0.3">
      <c r="A211" s="2" t="s">
        <v>747</v>
      </c>
      <c r="B211" s="2" t="s">
        <v>35</v>
      </c>
      <c r="C211" s="3">
        <v>46106.660740740743</v>
      </c>
      <c r="D211" t="s">
        <v>692</v>
      </c>
      <c r="E211" s="3" t="s">
        <v>699</v>
      </c>
      <c r="F211" s="2" t="s">
        <v>1</v>
      </c>
      <c r="G211" s="2" t="s">
        <v>745</v>
      </c>
      <c r="H211" s="2" t="s">
        <v>89</v>
      </c>
      <c r="I211" s="2" t="s">
        <v>524</v>
      </c>
      <c r="J211" s="2">
        <v>10</v>
      </c>
      <c r="K211" s="2" t="s">
        <v>10</v>
      </c>
      <c r="L211" s="2">
        <v>1.85</v>
      </c>
      <c r="M211" s="13">
        <v>18.5</v>
      </c>
      <c r="N211" s="14">
        <v>61176.91</v>
      </c>
      <c r="O211" s="14"/>
    </row>
    <row r="212" spans="1:15" hidden="1" x14ac:dyDescent="0.3">
      <c r="A212" s="2" t="s">
        <v>747</v>
      </c>
      <c r="B212" s="2" t="s">
        <v>36</v>
      </c>
      <c r="C212" s="3">
        <v>46105.438032407408</v>
      </c>
      <c r="D212" t="s">
        <v>692</v>
      </c>
      <c r="E212" s="3" t="s">
        <v>699</v>
      </c>
      <c r="F212" s="2" t="s">
        <v>8</v>
      </c>
      <c r="G212" s="2" t="s">
        <v>726</v>
      </c>
      <c r="H212" s="2" t="s">
        <v>90</v>
      </c>
      <c r="I212" s="2" t="s">
        <v>416</v>
      </c>
      <c r="J212" s="2">
        <v>3</v>
      </c>
      <c r="K212" s="2" t="s">
        <v>10</v>
      </c>
      <c r="L212" s="2">
        <v>71.8</v>
      </c>
      <c r="M212" s="13">
        <v>215.39999999999998</v>
      </c>
      <c r="N212" s="14">
        <v>712297.64399999997</v>
      </c>
      <c r="O212" s="14"/>
    </row>
    <row r="213" spans="1:15" hidden="1" x14ac:dyDescent="0.3">
      <c r="A213" s="2" t="s">
        <v>747</v>
      </c>
      <c r="B213" s="2" t="s">
        <v>36</v>
      </c>
      <c r="C213" s="3">
        <v>46105.438032407408</v>
      </c>
      <c r="D213" t="s">
        <v>692</v>
      </c>
      <c r="E213" s="3" t="s">
        <v>699</v>
      </c>
      <c r="F213" s="2" t="s">
        <v>8</v>
      </c>
      <c r="G213" s="2" t="s">
        <v>726</v>
      </c>
      <c r="H213" s="2" t="s">
        <v>90</v>
      </c>
      <c r="I213" s="2" t="s">
        <v>402</v>
      </c>
      <c r="J213" s="2">
        <v>55</v>
      </c>
      <c r="K213" s="2" t="s">
        <v>10</v>
      </c>
      <c r="L213" s="2">
        <v>5.31</v>
      </c>
      <c r="M213" s="13">
        <v>292.04999999999995</v>
      </c>
      <c r="N213" s="14">
        <v>965768.46299999987</v>
      </c>
      <c r="O213" s="14"/>
    </row>
    <row r="214" spans="1:15" hidden="1" x14ac:dyDescent="0.3">
      <c r="A214" s="2" t="s">
        <v>747</v>
      </c>
      <c r="B214" s="2" t="s">
        <v>36</v>
      </c>
      <c r="C214" s="3">
        <v>46105.438032407408</v>
      </c>
      <c r="D214" t="s">
        <v>692</v>
      </c>
      <c r="E214" s="3" t="s">
        <v>699</v>
      </c>
      <c r="F214" s="2" t="s">
        <v>8</v>
      </c>
      <c r="G214" s="2" t="s">
        <v>726</v>
      </c>
      <c r="H214" s="2" t="s">
        <v>79</v>
      </c>
      <c r="I214" s="2" t="s">
        <v>430</v>
      </c>
      <c r="J214" s="2">
        <v>3</v>
      </c>
      <c r="K214" s="2" t="s">
        <v>10</v>
      </c>
      <c r="L214" s="2">
        <v>17.739999999999998</v>
      </c>
      <c r="M214" s="13">
        <v>53.22</v>
      </c>
      <c r="N214" s="14">
        <v>175991.08920000002</v>
      </c>
      <c r="O214" s="14"/>
    </row>
    <row r="215" spans="1:15" hidden="1" x14ac:dyDescent="0.3">
      <c r="A215" s="2" t="s">
        <v>747</v>
      </c>
      <c r="B215" s="2" t="s">
        <v>36</v>
      </c>
      <c r="C215" s="3">
        <v>46105.438032407408</v>
      </c>
      <c r="D215" t="s">
        <v>692</v>
      </c>
      <c r="E215" s="3" t="s">
        <v>699</v>
      </c>
      <c r="F215" s="2" t="s">
        <v>8</v>
      </c>
      <c r="G215" s="2" t="s">
        <v>726</v>
      </c>
      <c r="H215" s="2" t="s">
        <v>79</v>
      </c>
      <c r="I215" s="2" t="s">
        <v>518</v>
      </c>
      <c r="J215" s="2">
        <v>2</v>
      </c>
      <c r="K215" s="2" t="s">
        <v>10</v>
      </c>
      <c r="L215" s="2">
        <v>39.15</v>
      </c>
      <c r="M215" s="13">
        <v>78.3</v>
      </c>
      <c r="N215" s="14">
        <v>258927.13800000001</v>
      </c>
      <c r="O215" s="14"/>
    </row>
    <row r="216" spans="1:15" hidden="1" x14ac:dyDescent="0.3">
      <c r="A216" s="2" t="s">
        <v>747</v>
      </c>
      <c r="B216" s="2" t="s">
        <v>36</v>
      </c>
      <c r="C216" s="3">
        <v>46105.438032407408</v>
      </c>
      <c r="D216" t="s">
        <v>692</v>
      </c>
      <c r="E216" s="3" t="s">
        <v>699</v>
      </c>
      <c r="F216" s="2" t="s">
        <v>8</v>
      </c>
      <c r="G216" s="2" t="s">
        <v>726</v>
      </c>
      <c r="H216" s="2" t="s">
        <v>90</v>
      </c>
      <c r="I216" s="2" t="s">
        <v>678</v>
      </c>
      <c r="J216" s="2">
        <v>80</v>
      </c>
      <c r="K216" s="2" t="s">
        <v>10</v>
      </c>
      <c r="L216" s="2">
        <v>5.31</v>
      </c>
      <c r="M216" s="13">
        <v>424.79999999999995</v>
      </c>
      <c r="N216" s="14">
        <v>1404754.1279999998</v>
      </c>
      <c r="O216" s="14"/>
    </row>
    <row r="217" spans="1:15" hidden="1" x14ac:dyDescent="0.3">
      <c r="A217" s="2" t="s">
        <v>747</v>
      </c>
      <c r="B217" s="2" t="s">
        <v>36</v>
      </c>
      <c r="C217" s="3">
        <v>46105.438032407408</v>
      </c>
      <c r="D217" t="s">
        <v>692</v>
      </c>
      <c r="E217" s="3" t="s">
        <v>699</v>
      </c>
      <c r="F217" s="2" t="s">
        <v>8</v>
      </c>
      <c r="G217" s="2" t="s">
        <v>726</v>
      </c>
      <c r="H217" s="2" t="s">
        <v>79</v>
      </c>
      <c r="I217" s="2" t="s">
        <v>676</v>
      </c>
      <c r="J217" s="2">
        <v>0</v>
      </c>
      <c r="K217" s="2" t="s">
        <v>10</v>
      </c>
      <c r="L217" s="2">
        <v>0</v>
      </c>
      <c r="M217" s="13">
        <v>0</v>
      </c>
      <c r="N217" s="14">
        <v>0</v>
      </c>
      <c r="O217" s="14"/>
    </row>
    <row r="218" spans="1:15" hidden="1" x14ac:dyDescent="0.3">
      <c r="A218" s="2" t="s">
        <v>747</v>
      </c>
      <c r="B218" s="2" t="s">
        <v>37</v>
      </c>
      <c r="C218" s="3">
        <v>46100.546215277784</v>
      </c>
      <c r="D218" t="s">
        <v>692</v>
      </c>
      <c r="E218" s="3" t="s">
        <v>699</v>
      </c>
      <c r="F218" s="2" t="s">
        <v>1</v>
      </c>
      <c r="G218" s="2" t="s">
        <v>745</v>
      </c>
      <c r="H218" s="2" t="s">
        <v>89</v>
      </c>
      <c r="I218" s="2" t="s">
        <v>522</v>
      </c>
      <c r="J218" s="2">
        <v>30</v>
      </c>
      <c r="K218" s="2" t="s">
        <v>10</v>
      </c>
      <c r="L218" s="2">
        <v>19.5</v>
      </c>
      <c r="M218" s="13">
        <v>585</v>
      </c>
      <c r="N218" s="14">
        <v>1934513.1</v>
      </c>
      <c r="O218" s="14"/>
    </row>
    <row r="219" spans="1:15" hidden="1" x14ac:dyDescent="0.3">
      <c r="A219" s="2" t="s">
        <v>747</v>
      </c>
      <c r="B219" s="2" t="s">
        <v>37</v>
      </c>
      <c r="C219" s="3">
        <v>46100.546215277784</v>
      </c>
      <c r="D219" t="s">
        <v>692</v>
      </c>
      <c r="E219" s="3" t="s">
        <v>699</v>
      </c>
      <c r="F219" s="2" t="s">
        <v>1</v>
      </c>
      <c r="G219" s="2" t="s">
        <v>1</v>
      </c>
      <c r="H219" s="2"/>
      <c r="I219" s="2" t="s">
        <v>523</v>
      </c>
      <c r="J219" s="2">
        <v>40</v>
      </c>
      <c r="K219" s="2" t="s">
        <v>10</v>
      </c>
      <c r="L219" s="2">
        <v>0.6</v>
      </c>
      <c r="M219" s="13">
        <v>24</v>
      </c>
      <c r="N219" s="14">
        <v>79364.639999999999</v>
      </c>
      <c r="O219" s="14"/>
    </row>
    <row r="220" spans="1:15" hidden="1" x14ac:dyDescent="0.3">
      <c r="A220" s="2" t="s">
        <v>751</v>
      </c>
      <c r="B220" s="2" t="s">
        <v>37</v>
      </c>
      <c r="C220" s="3">
        <v>46100.546215277784</v>
      </c>
      <c r="D220" t="s">
        <v>692</v>
      </c>
      <c r="E220" s="3" t="s">
        <v>699</v>
      </c>
      <c r="F220" s="2" t="s">
        <v>1</v>
      </c>
      <c r="G220" s="2" t="s">
        <v>745</v>
      </c>
      <c r="H220" s="2" t="s">
        <v>89</v>
      </c>
      <c r="I220" s="2" t="s">
        <v>476</v>
      </c>
      <c r="J220" s="2">
        <v>7</v>
      </c>
      <c r="K220" s="2" t="s">
        <v>10</v>
      </c>
      <c r="L220" s="2">
        <v>5.82</v>
      </c>
      <c r="M220" s="13">
        <v>40.74</v>
      </c>
      <c r="N220" s="14">
        <v>134721.47640000001</v>
      </c>
      <c r="O220" s="14"/>
    </row>
    <row r="221" spans="1:15" hidden="1" x14ac:dyDescent="0.3">
      <c r="A221" s="2" t="s">
        <v>747</v>
      </c>
      <c r="B221" s="2" t="s">
        <v>37</v>
      </c>
      <c r="C221" s="3">
        <v>46100.546215277784</v>
      </c>
      <c r="D221" t="s">
        <v>692</v>
      </c>
      <c r="E221" s="3" t="s">
        <v>699</v>
      </c>
      <c r="F221" s="2" t="s">
        <v>1</v>
      </c>
      <c r="G221" s="2" t="s">
        <v>745</v>
      </c>
      <c r="H221" s="2" t="s">
        <v>89</v>
      </c>
      <c r="I221" s="2" t="s">
        <v>524</v>
      </c>
      <c r="J221" s="2">
        <v>10</v>
      </c>
      <c r="K221" s="2" t="s">
        <v>10</v>
      </c>
      <c r="L221" s="2">
        <v>1.85</v>
      </c>
      <c r="M221" s="13">
        <v>18.5</v>
      </c>
      <c r="N221" s="14">
        <v>61176.91</v>
      </c>
      <c r="O221" s="14"/>
    </row>
    <row r="222" spans="1:15" hidden="1" x14ac:dyDescent="0.3">
      <c r="A222" s="2" t="s">
        <v>747</v>
      </c>
      <c r="B222" s="2" t="s">
        <v>37</v>
      </c>
      <c r="C222" s="3">
        <v>46100.546215277784</v>
      </c>
      <c r="D222" t="s">
        <v>692</v>
      </c>
      <c r="E222" s="3" t="s">
        <v>699</v>
      </c>
      <c r="F222" s="2" t="s">
        <v>1</v>
      </c>
      <c r="G222" s="2" t="s">
        <v>745</v>
      </c>
      <c r="H222" s="2" t="s">
        <v>79</v>
      </c>
      <c r="I222" s="2" t="s">
        <v>525</v>
      </c>
      <c r="J222" s="2">
        <v>5</v>
      </c>
      <c r="K222" s="2" t="s">
        <v>10</v>
      </c>
      <c r="L222" s="2">
        <v>2.78</v>
      </c>
      <c r="M222" s="13">
        <v>13.899999999999999</v>
      </c>
      <c r="N222" s="14">
        <v>45965.353999999999</v>
      </c>
      <c r="O222" s="14"/>
    </row>
    <row r="223" spans="1:15" hidden="1" x14ac:dyDescent="0.3">
      <c r="A223" s="2" t="s">
        <v>747</v>
      </c>
      <c r="B223" s="2" t="s">
        <v>38</v>
      </c>
      <c r="C223" s="3">
        <v>46099.385648148149</v>
      </c>
      <c r="D223" t="s">
        <v>692</v>
      </c>
      <c r="E223" s="3" t="s">
        <v>699</v>
      </c>
      <c r="F223" s="2" t="s">
        <v>1</v>
      </c>
      <c r="G223" s="2" t="s">
        <v>745</v>
      </c>
      <c r="H223" s="2" t="s">
        <v>89</v>
      </c>
      <c r="I223" s="2" t="s">
        <v>522</v>
      </c>
      <c r="J223" s="2">
        <v>20</v>
      </c>
      <c r="K223" s="2" t="s">
        <v>10</v>
      </c>
      <c r="L223" s="2">
        <v>14.36</v>
      </c>
      <c r="M223" s="13">
        <v>287.2</v>
      </c>
      <c r="N223" s="14">
        <v>949730.19200000004</v>
      </c>
      <c r="O223" s="14"/>
    </row>
    <row r="224" spans="1:15" hidden="1" x14ac:dyDescent="0.3">
      <c r="A224" s="2" t="s">
        <v>747</v>
      </c>
      <c r="B224" s="2" t="s">
        <v>39</v>
      </c>
      <c r="C224" s="3">
        <v>46099.383750000001</v>
      </c>
      <c r="D224" t="s">
        <v>692</v>
      </c>
      <c r="E224" s="3" t="s">
        <v>699</v>
      </c>
      <c r="F224" s="2" t="s">
        <v>2</v>
      </c>
      <c r="G224" s="2" t="s">
        <v>726</v>
      </c>
      <c r="H224" s="2" t="s">
        <v>80</v>
      </c>
      <c r="I224" s="2" t="s">
        <v>502</v>
      </c>
      <c r="J224" s="2">
        <v>6</v>
      </c>
      <c r="K224" s="2" t="s">
        <v>10</v>
      </c>
      <c r="L224" s="2">
        <v>228</v>
      </c>
      <c r="M224" s="13">
        <v>1368</v>
      </c>
      <c r="N224" s="14">
        <v>4523784.4800000004</v>
      </c>
      <c r="O224" s="14"/>
    </row>
    <row r="225" spans="1:15" hidden="1" x14ac:dyDescent="0.3">
      <c r="A225" s="2" t="s">
        <v>747</v>
      </c>
      <c r="B225" s="2" t="s">
        <v>40</v>
      </c>
      <c r="C225" s="3">
        <v>46097.7343287037</v>
      </c>
      <c r="D225" t="s">
        <v>692</v>
      </c>
      <c r="E225" s="3" t="s">
        <v>699</v>
      </c>
      <c r="F225" s="2" t="s">
        <v>1</v>
      </c>
      <c r="G225" s="2" t="s">
        <v>1</v>
      </c>
      <c r="H225" s="2"/>
      <c r="I225" s="2" t="s">
        <v>426</v>
      </c>
      <c r="J225" s="2">
        <v>160</v>
      </c>
      <c r="K225" s="2" t="s">
        <v>0</v>
      </c>
      <c r="L225" s="2">
        <v>62034</v>
      </c>
      <c r="M225" s="13">
        <v>9925440</v>
      </c>
      <c r="N225" s="14">
        <v>9925440</v>
      </c>
      <c r="O225" s="14"/>
    </row>
    <row r="226" spans="1:15" hidden="1" x14ac:dyDescent="0.3">
      <c r="A226" s="2" t="s">
        <v>747</v>
      </c>
      <c r="B226" s="2" t="s">
        <v>40</v>
      </c>
      <c r="C226" s="3">
        <v>46097.7343287037</v>
      </c>
      <c r="D226" t="s">
        <v>692</v>
      </c>
      <c r="E226" s="3" t="s">
        <v>699</v>
      </c>
      <c r="F226" s="2" t="s">
        <v>1</v>
      </c>
      <c r="G226" s="2" t="s">
        <v>1</v>
      </c>
      <c r="H226" s="2"/>
      <c r="I226" s="2" t="s">
        <v>468</v>
      </c>
      <c r="J226" s="2">
        <v>3</v>
      </c>
      <c r="K226" s="2" t="s">
        <v>0</v>
      </c>
      <c r="L226" s="2">
        <v>74250</v>
      </c>
      <c r="M226" s="13">
        <v>222750</v>
      </c>
      <c r="N226" s="14">
        <v>222750</v>
      </c>
      <c r="O226" s="14"/>
    </row>
    <row r="227" spans="1:15" hidden="1" x14ac:dyDescent="0.3">
      <c r="A227" s="2" t="s">
        <v>747</v>
      </c>
      <c r="B227" s="2" t="s">
        <v>40</v>
      </c>
      <c r="C227" s="3">
        <v>46097.7343287037</v>
      </c>
      <c r="D227" t="s">
        <v>692</v>
      </c>
      <c r="E227" s="3" t="s">
        <v>699</v>
      </c>
      <c r="F227" s="2" t="s">
        <v>1</v>
      </c>
      <c r="G227" s="2" t="s">
        <v>1</v>
      </c>
      <c r="H227" s="2"/>
      <c r="I227" s="2" t="s">
        <v>418</v>
      </c>
      <c r="J227" s="2">
        <v>1</v>
      </c>
      <c r="K227" s="2" t="s">
        <v>0</v>
      </c>
      <c r="L227" s="2">
        <v>9156</v>
      </c>
      <c r="M227" s="13">
        <v>9156</v>
      </c>
      <c r="N227" s="14">
        <v>9156</v>
      </c>
      <c r="O227" s="14"/>
    </row>
    <row r="228" spans="1:15" hidden="1" x14ac:dyDescent="0.3">
      <c r="A228" s="2" t="s">
        <v>747</v>
      </c>
      <c r="B228" s="2" t="s">
        <v>41</v>
      </c>
      <c r="C228" s="3">
        <v>46097.35765046296</v>
      </c>
      <c r="D228" t="s">
        <v>692</v>
      </c>
      <c r="E228" s="3" t="s">
        <v>699</v>
      </c>
      <c r="F228" s="2" t="s">
        <v>8</v>
      </c>
      <c r="G228" s="2" t="s">
        <v>726</v>
      </c>
      <c r="H228" s="2" t="s">
        <v>82</v>
      </c>
      <c r="I228" s="2" t="s">
        <v>529</v>
      </c>
      <c r="J228" s="2">
        <v>2</v>
      </c>
      <c r="K228" s="2" t="s">
        <v>10</v>
      </c>
      <c r="L228" s="2">
        <v>1533.4</v>
      </c>
      <c r="M228" s="13">
        <v>3066.8</v>
      </c>
      <c r="N228" s="14">
        <v>10141478.248000002</v>
      </c>
      <c r="O228" s="14"/>
    </row>
    <row r="229" spans="1:15" hidden="1" x14ac:dyDescent="0.3">
      <c r="A229" s="2" t="s">
        <v>747</v>
      </c>
      <c r="B229" s="2" t="s">
        <v>42</v>
      </c>
      <c r="C229" s="3">
        <v>46094.610914351862</v>
      </c>
      <c r="D229" t="s">
        <v>692</v>
      </c>
      <c r="E229" s="3" t="s">
        <v>699</v>
      </c>
      <c r="F229" s="2" t="s">
        <v>8</v>
      </c>
      <c r="G229" s="2" t="s">
        <v>726</v>
      </c>
      <c r="H229" s="2" t="s">
        <v>84</v>
      </c>
      <c r="I229" s="2" t="s">
        <v>531</v>
      </c>
      <c r="J229" s="2">
        <v>20</v>
      </c>
      <c r="K229" s="2" t="s">
        <v>10</v>
      </c>
      <c r="L229" s="2">
        <v>10.73</v>
      </c>
      <c r="M229" s="13">
        <v>214.60000000000002</v>
      </c>
      <c r="N229" s="14">
        <v>709652.15600000008</v>
      </c>
      <c r="O229" s="14"/>
    </row>
    <row r="230" spans="1:15" hidden="1" x14ac:dyDescent="0.3">
      <c r="A230" s="2" t="s">
        <v>747</v>
      </c>
      <c r="B230" s="2" t="s">
        <v>42</v>
      </c>
      <c r="C230" s="3">
        <v>46094.610914351862</v>
      </c>
      <c r="D230" t="s">
        <v>692</v>
      </c>
      <c r="E230" s="3" t="s">
        <v>699</v>
      </c>
      <c r="F230" s="2" t="s">
        <v>8</v>
      </c>
      <c r="G230" s="2" t="s">
        <v>726</v>
      </c>
      <c r="H230" s="2" t="s">
        <v>84</v>
      </c>
      <c r="I230" s="2" t="s">
        <v>532</v>
      </c>
      <c r="J230" s="2">
        <v>20</v>
      </c>
      <c r="K230" s="2" t="s">
        <v>10</v>
      </c>
      <c r="L230" s="2">
        <v>7.83</v>
      </c>
      <c r="M230" s="13">
        <v>156.6</v>
      </c>
      <c r="N230" s="14">
        <v>517854.27600000001</v>
      </c>
      <c r="O230" s="14"/>
    </row>
    <row r="231" spans="1:15" hidden="1" x14ac:dyDescent="0.3">
      <c r="A231" s="2" t="s">
        <v>747</v>
      </c>
      <c r="B231" s="2" t="s">
        <v>42</v>
      </c>
      <c r="C231" s="3">
        <v>46094.610914351862</v>
      </c>
      <c r="D231" t="s">
        <v>692</v>
      </c>
      <c r="E231" s="3" t="s">
        <v>699</v>
      </c>
      <c r="F231" s="2" t="s">
        <v>8</v>
      </c>
      <c r="G231" s="2" t="s">
        <v>726</v>
      </c>
      <c r="H231" s="2" t="s">
        <v>79</v>
      </c>
      <c r="I231" s="2" t="s">
        <v>429</v>
      </c>
      <c r="J231" s="2">
        <v>40</v>
      </c>
      <c r="K231" s="2" t="s">
        <v>10</v>
      </c>
      <c r="L231" s="2">
        <v>1.36</v>
      </c>
      <c r="M231" s="13">
        <v>54.400000000000006</v>
      </c>
      <c r="N231" s="14">
        <v>179893.18400000004</v>
      </c>
      <c r="O231" s="14"/>
    </row>
    <row r="232" spans="1:15" hidden="1" x14ac:dyDescent="0.3">
      <c r="A232" s="2" t="s">
        <v>747</v>
      </c>
      <c r="B232" s="2" t="s">
        <v>43</v>
      </c>
      <c r="C232" s="3">
        <v>46093.63689814815</v>
      </c>
      <c r="D232" t="s">
        <v>692</v>
      </c>
      <c r="E232" s="3" t="s">
        <v>699</v>
      </c>
      <c r="F232" s="2" t="s">
        <v>8</v>
      </c>
      <c r="G232" s="2" t="s">
        <v>726</v>
      </c>
      <c r="H232" s="2" t="s">
        <v>90</v>
      </c>
      <c r="I232" s="2" t="s">
        <v>533</v>
      </c>
      <c r="J232" s="2">
        <v>3</v>
      </c>
      <c r="K232" s="2" t="s">
        <v>10</v>
      </c>
      <c r="L232" s="2">
        <v>33.33</v>
      </c>
      <c r="M232" s="13">
        <v>99.99</v>
      </c>
      <c r="N232" s="14">
        <v>330652.9314</v>
      </c>
      <c r="O232" s="14"/>
    </row>
    <row r="233" spans="1:15" hidden="1" x14ac:dyDescent="0.3">
      <c r="A233" s="2" t="s">
        <v>747</v>
      </c>
      <c r="B233" s="2" t="s">
        <v>43</v>
      </c>
      <c r="C233" s="3">
        <v>46093.63689814815</v>
      </c>
      <c r="D233" t="s">
        <v>692</v>
      </c>
      <c r="E233" s="3" t="s">
        <v>699</v>
      </c>
      <c r="F233" s="2" t="s">
        <v>8</v>
      </c>
      <c r="G233" s="2" t="s">
        <v>726</v>
      </c>
      <c r="H233" s="2" t="s">
        <v>79</v>
      </c>
      <c r="I233" s="2" t="s">
        <v>430</v>
      </c>
      <c r="J233" s="2">
        <v>5</v>
      </c>
      <c r="K233" s="2" t="s">
        <v>10</v>
      </c>
      <c r="L233" s="2">
        <v>17.350000000000001</v>
      </c>
      <c r="M233" s="13">
        <v>86.75</v>
      </c>
      <c r="N233" s="14">
        <v>286870.10500000004</v>
      </c>
      <c r="O233" s="14"/>
    </row>
    <row r="234" spans="1:15" hidden="1" x14ac:dyDescent="0.3">
      <c r="A234" s="2" t="s">
        <v>747</v>
      </c>
      <c r="B234" s="2" t="s">
        <v>44</v>
      </c>
      <c r="C234" s="3">
        <v>46087.516111111108</v>
      </c>
      <c r="D234" t="s">
        <v>692</v>
      </c>
      <c r="E234" s="3" t="s">
        <v>699</v>
      </c>
      <c r="F234" s="2" t="s">
        <v>1</v>
      </c>
      <c r="G234" s="2" t="s">
        <v>745</v>
      </c>
      <c r="H234" s="2" t="s">
        <v>89</v>
      </c>
      <c r="I234" s="2" t="s">
        <v>442</v>
      </c>
      <c r="J234" s="2">
        <v>40</v>
      </c>
      <c r="K234" s="2" t="s">
        <v>10</v>
      </c>
      <c r="L234" s="2">
        <v>1.67</v>
      </c>
      <c r="M234" s="13">
        <v>66.8</v>
      </c>
      <c r="N234" s="14">
        <v>220898.24799999999</v>
      </c>
      <c r="O234" s="14"/>
    </row>
    <row r="235" spans="1:15" hidden="1" x14ac:dyDescent="0.3">
      <c r="A235" s="2" t="s">
        <v>747</v>
      </c>
      <c r="B235" s="2" t="s">
        <v>45</v>
      </c>
      <c r="C235" s="3">
        <v>46105.374236111107</v>
      </c>
      <c r="D235" t="s">
        <v>692</v>
      </c>
      <c r="E235" s="3" t="s">
        <v>699</v>
      </c>
      <c r="F235" s="2" t="s">
        <v>2</v>
      </c>
      <c r="G235" s="2" t="s">
        <v>726</v>
      </c>
      <c r="H235" s="2" t="s">
        <v>80</v>
      </c>
      <c r="I235" s="2" t="s">
        <v>492</v>
      </c>
      <c r="J235" s="2">
        <v>1</v>
      </c>
      <c r="K235" s="2" t="s">
        <v>10</v>
      </c>
      <c r="L235" s="2">
        <v>167</v>
      </c>
      <c r="M235" s="13">
        <v>167</v>
      </c>
      <c r="N235" s="14">
        <v>552245.62</v>
      </c>
      <c r="O235" s="14"/>
    </row>
    <row r="236" spans="1:15" hidden="1" x14ac:dyDescent="0.3">
      <c r="A236" s="2" t="s">
        <v>747</v>
      </c>
      <c r="B236" s="2" t="s">
        <v>46</v>
      </c>
      <c r="C236" s="3">
        <v>46083.728831018518</v>
      </c>
      <c r="D236" t="s">
        <v>692</v>
      </c>
      <c r="E236" s="3" t="s">
        <v>699</v>
      </c>
      <c r="F236" s="2" t="s">
        <v>8</v>
      </c>
      <c r="G236" s="2" t="s">
        <v>726</v>
      </c>
      <c r="H236" s="2" t="s">
        <v>79</v>
      </c>
      <c r="I236" s="2" t="s">
        <v>463</v>
      </c>
      <c r="J236" s="2">
        <v>12</v>
      </c>
      <c r="K236" s="2" t="s">
        <v>10</v>
      </c>
      <c r="L236" s="2">
        <v>48.77</v>
      </c>
      <c r="M236" s="13">
        <v>585.24</v>
      </c>
      <c r="N236" s="14">
        <v>1935306.7464000001</v>
      </c>
      <c r="O236" s="14"/>
    </row>
    <row r="237" spans="1:15" hidden="1" x14ac:dyDescent="0.3">
      <c r="A237" s="2" t="s">
        <v>747</v>
      </c>
      <c r="B237" s="2" t="s">
        <v>46</v>
      </c>
      <c r="C237" s="3">
        <v>46083.728831018518</v>
      </c>
      <c r="D237" t="s">
        <v>692</v>
      </c>
      <c r="E237" s="3" t="s">
        <v>699</v>
      </c>
      <c r="F237" s="2" t="s">
        <v>8</v>
      </c>
      <c r="G237" s="2" t="s">
        <v>726</v>
      </c>
      <c r="H237" s="2" t="s">
        <v>84</v>
      </c>
      <c r="I237" s="2" t="s">
        <v>544</v>
      </c>
      <c r="J237" s="2">
        <v>622</v>
      </c>
      <c r="K237" s="2" t="s">
        <v>10</v>
      </c>
      <c r="L237" s="2">
        <v>10.37</v>
      </c>
      <c r="M237" s="13">
        <v>6450.1399999999994</v>
      </c>
      <c r="N237" s="14">
        <v>21329709.9604</v>
      </c>
      <c r="O237" s="14"/>
    </row>
    <row r="238" spans="1:15" hidden="1" x14ac:dyDescent="0.3">
      <c r="A238" s="2" t="s">
        <v>747</v>
      </c>
      <c r="B238" s="2" t="s">
        <v>46</v>
      </c>
      <c r="C238" s="3">
        <v>46083.728831018518</v>
      </c>
      <c r="D238" t="s">
        <v>692</v>
      </c>
      <c r="E238" s="3" t="s">
        <v>699</v>
      </c>
      <c r="F238" s="2" t="s">
        <v>8</v>
      </c>
      <c r="G238" s="2" t="s">
        <v>726</v>
      </c>
      <c r="H238" s="2" t="s">
        <v>84</v>
      </c>
      <c r="I238" s="2" t="s">
        <v>545</v>
      </c>
      <c r="J238" s="2">
        <v>622</v>
      </c>
      <c r="K238" s="2" t="s">
        <v>10</v>
      </c>
      <c r="L238" s="2">
        <v>11.06</v>
      </c>
      <c r="M238" s="13">
        <v>6879.3200000000006</v>
      </c>
      <c r="N238" s="14">
        <v>22748948.135200001</v>
      </c>
      <c r="O238" s="14"/>
    </row>
    <row r="239" spans="1:15" hidden="1" x14ac:dyDescent="0.3">
      <c r="A239" s="2" t="s">
        <v>747</v>
      </c>
      <c r="B239" s="2" t="s">
        <v>46</v>
      </c>
      <c r="C239" s="3">
        <v>46083.728831018518</v>
      </c>
      <c r="D239" t="s">
        <v>692</v>
      </c>
      <c r="E239" s="3" t="s">
        <v>699</v>
      </c>
      <c r="F239" s="2" t="s">
        <v>8</v>
      </c>
      <c r="G239" s="2" t="s">
        <v>726</v>
      </c>
      <c r="H239" s="2" t="s">
        <v>7</v>
      </c>
      <c r="I239" s="2" t="s">
        <v>546</v>
      </c>
      <c r="J239" s="2">
        <v>7</v>
      </c>
      <c r="K239" s="2" t="s">
        <v>10</v>
      </c>
      <c r="L239" s="2">
        <v>750.01</v>
      </c>
      <c r="M239" s="13">
        <v>5250.07</v>
      </c>
      <c r="N239" s="14">
        <v>17361246.4802</v>
      </c>
      <c r="O239" s="14"/>
    </row>
    <row r="240" spans="1:15" hidden="1" x14ac:dyDescent="0.3">
      <c r="A240" s="2" t="s">
        <v>747</v>
      </c>
      <c r="B240" s="2" t="s">
        <v>46</v>
      </c>
      <c r="C240" s="3">
        <v>46083.728831018518</v>
      </c>
      <c r="D240" t="s">
        <v>692</v>
      </c>
      <c r="E240" s="3" t="s">
        <v>699</v>
      </c>
      <c r="F240" s="2" t="s">
        <v>8</v>
      </c>
      <c r="G240" s="2" t="s">
        <v>726</v>
      </c>
      <c r="H240" s="2" t="s">
        <v>7</v>
      </c>
      <c r="I240" s="2" t="s">
        <v>547</v>
      </c>
      <c r="J240" s="2">
        <v>7</v>
      </c>
      <c r="K240" s="2" t="s">
        <v>10</v>
      </c>
      <c r="L240" s="2">
        <v>225</v>
      </c>
      <c r="M240" s="13">
        <v>1575</v>
      </c>
      <c r="N240" s="14">
        <v>5208304.5</v>
      </c>
      <c r="O240" s="14"/>
    </row>
    <row r="241" spans="1:15" hidden="1" x14ac:dyDescent="0.3">
      <c r="A241" s="2" t="s">
        <v>747</v>
      </c>
      <c r="B241" s="2" t="s">
        <v>46</v>
      </c>
      <c r="C241" s="3">
        <v>46083.728831018518</v>
      </c>
      <c r="D241" t="s">
        <v>692</v>
      </c>
      <c r="E241" s="3" t="s">
        <v>699</v>
      </c>
      <c r="F241" s="2" t="s">
        <v>8</v>
      </c>
      <c r="G241" s="2" t="s">
        <v>726</v>
      </c>
      <c r="H241" s="2" t="s">
        <v>7</v>
      </c>
      <c r="I241" s="2" t="s">
        <v>548</v>
      </c>
      <c r="J241" s="2">
        <v>7</v>
      </c>
      <c r="K241" s="2" t="s">
        <v>10</v>
      </c>
      <c r="L241" s="2">
        <v>240.01</v>
      </c>
      <c r="M241" s="13">
        <v>1680.07</v>
      </c>
      <c r="N241" s="14">
        <v>5555756.2801999999</v>
      </c>
      <c r="O241" s="14"/>
    </row>
    <row r="242" spans="1:15" hidden="1" x14ac:dyDescent="0.3">
      <c r="A242" s="2" t="s">
        <v>747</v>
      </c>
      <c r="B242" s="2" t="s">
        <v>46</v>
      </c>
      <c r="C242" s="3">
        <v>46083.728831018518</v>
      </c>
      <c r="D242" t="s">
        <v>692</v>
      </c>
      <c r="E242" s="3" t="s">
        <v>699</v>
      </c>
      <c r="F242" s="2" t="s">
        <v>8</v>
      </c>
      <c r="G242" s="2" t="s">
        <v>726</v>
      </c>
      <c r="H242" s="2" t="s">
        <v>7</v>
      </c>
      <c r="I242" s="2" t="s">
        <v>549</v>
      </c>
      <c r="J242" s="2">
        <v>14</v>
      </c>
      <c r="K242" s="2" t="s">
        <v>10</v>
      </c>
      <c r="L242" s="2">
        <v>348.01</v>
      </c>
      <c r="M242" s="13">
        <v>4872.1399999999994</v>
      </c>
      <c r="N242" s="14">
        <v>16111484.880399998</v>
      </c>
      <c r="O242" s="14"/>
    </row>
    <row r="243" spans="1:15" hidden="1" x14ac:dyDescent="0.3">
      <c r="A243" s="2" t="s">
        <v>747</v>
      </c>
      <c r="B243" s="2" t="s">
        <v>46</v>
      </c>
      <c r="C243" s="3">
        <v>46083.728831018518</v>
      </c>
      <c r="D243" t="s">
        <v>692</v>
      </c>
      <c r="E243" s="3" t="s">
        <v>699</v>
      </c>
      <c r="F243" s="2" t="s">
        <v>8</v>
      </c>
      <c r="G243" s="2" t="s">
        <v>726</v>
      </c>
      <c r="H243" s="2" t="s">
        <v>7</v>
      </c>
      <c r="I243" s="2" t="s">
        <v>550</v>
      </c>
      <c r="J243" s="2">
        <v>7</v>
      </c>
      <c r="K243" s="2" t="s">
        <v>10</v>
      </c>
      <c r="L243" s="2">
        <v>262.51</v>
      </c>
      <c r="M243" s="13">
        <v>1837.57</v>
      </c>
      <c r="N243" s="14">
        <v>6076586.7302000001</v>
      </c>
      <c r="O243" s="14"/>
    </row>
    <row r="244" spans="1:15" hidden="1" x14ac:dyDescent="0.3">
      <c r="A244" s="2" t="s">
        <v>747</v>
      </c>
      <c r="B244" s="2" t="s">
        <v>46</v>
      </c>
      <c r="C244" s="3">
        <v>46083.728831018518</v>
      </c>
      <c r="D244" t="s">
        <v>692</v>
      </c>
      <c r="E244" s="3" t="s">
        <v>699</v>
      </c>
      <c r="F244" s="2" t="s">
        <v>8</v>
      </c>
      <c r="G244" s="2" t="s">
        <v>726</v>
      </c>
      <c r="H244" s="2" t="s">
        <v>82</v>
      </c>
      <c r="I244" s="2" t="s">
        <v>551</v>
      </c>
      <c r="J244" s="2">
        <v>8</v>
      </c>
      <c r="K244" s="2" t="s">
        <v>10</v>
      </c>
      <c r="L244" s="2">
        <v>16.010000000000002</v>
      </c>
      <c r="M244" s="13">
        <v>128.08000000000001</v>
      </c>
      <c r="N244" s="14">
        <v>423542.62880000006</v>
      </c>
      <c r="O244" s="14"/>
    </row>
    <row r="245" spans="1:15" hidden="1" x14ac:dyDescent="0.3">
      <c r="A245" s="2" t="s">
        <v>747</v>
      </c>
      <c r="B245" s="2" t="s">
        <v>46</v>
      </c>
      <c r="C245" s="3">
        <v>46083.728831018518</v>
      </c>
      <c r="D245" t="s">
        <v>692</v>
      </c>
      <c r="E245" s="3" t="s">
        <v>699</v>
      </c>
      <c r="F245" s="2" t="s">
        <v>8</v>
      </c>
      <c r="G245" s="2" t="s">
        <v>726</v>
      </c>
      <c r="H245" s="2" t="s">
        <v>82</v>
      </c>
      <c r="I245" s="2" t="s">
        <v>552</v>
      </c>
      <c r="J245" s="2">
        <v>28</v>
      </c>
      <c r="K245" s="2" t="s">
        <v>10</v>
      </c>
      <c r="L245" s="2">
        <v>4</v>
      </c>
      <c r="M245" s="13">
        <v>112</v>
      </c>
      <c r="N245" s="14">
        <v>370368.32</v>
      </c>
      <c r="O245" s="14"/>
    </row>
    <row r="246" spans="1:15" hidden="1" x14ac:dyDescent="0.3">
      <c r="A246" s="2" t="s">
        <v>747</v>
      </c>
      <c r="B246" s="2" t="s">
        <v>46</v>
      </c>
      <c r="C246" s="3">
        <v>46083.728831018518</v>
      </c>
      <c r="D246" t="s">
        <v>692</v>
      </c>
      <c r="E246" s="3" t="s">
        <v>699</v>
      </c>
      <c r="F246" s="2" t="s">
        <v>8</v>
      </c>
      <c r="G246" s="2" t="s">
        <v>726</v>
      </c>
      <c r="H246" s="2" t="s">
        <v>82</v>
      </c>
      <c r="I246" s="2" t="s">
        <v>553</v>
      </c>
      <c r="J246" s="2">
        <v>3</v>
      </c>
      <c r="K246" s="2" t="s">
        <v>10</v>
      </c>
      <c r="L246" s="2">
        <v>27.2</v>
      </c>
      <c r="M246" s="13">
        <v>81.599999999999994</v>
      </c>
      <c r="N246" s="14">
        <v>269839.77600000001</v>
      </c>
      <c r="O246" s="14"/>
    </row>
    <row r="247" spans="1:15" hidden="1" x14ac:dyDescent="0.3">
      <c r="A247" s="2" t="s">
        <v>747</v>
      </c>
      <c r="B247" s="2" t="s">
        <v>46</v>
      </c>
      <c r="C247" s="3">
        <v>46083.728831018518</v>
      </c>
      <c r="D247" t="s">
        <v>692</v>
      </c>
      <c r="E247" s="3" t="s">
        <v>699</v>
      </c>
      <c r="F247" s="2" t="s">
        <v>8</v>
      </c>
      <c r="G247" s="2" t="s">
        <v>726</v>
      </c>
      <c r="H247" s="2" t="s">
        <v>7</v>
      </c>
      <c r="I247" s="2" t="s">
        <v>498</v>
      </c>
      <c r="J247" s="2">
        <v>1</v>
      </c>
      <c r="K247" s="2" t="s">
        <v>10</v>
      </c>
      <c r="L247" s="2">
        <v>250</v>
      </c>
      <c r="M247" s="13">
        <v>250</v>
      </c>
      <c r="N247" s="14">
        <v>826715</v>
      </c>
      <c r="O247" s="14"/>
    </row>
    <row r="248" spans="1:15" hidden="1" x14ac:dyDescent="0.3">
      <c r="A248" s="2" t="s">
        <v>747</v>
      </c>
      <c r="B248" s="2" t="s">
        <v>46</v>
      </c>
      <c r="C248" s="3">
        <v>46083.728831018518</v>
      </c>
      <c r="D248" t="s">
        <v>692</v>
      </c>
      <c r="E248" s="3" t="s">
        <v>699</v>
      </c>
      <c r="F248" s="2" t="s">
        <v>8</v>
      </c>
      <c r="G248" s="2" t="s">
        <v>726</v>
      </c>
      <c r="H248" s="2" t="s">
        <v>7</v>
      </c>
      <c r="I248" s="2" t="s">
        <v>501</v>
      </c>
      <c r="J248" s="2">
        <v>1</v>
      </c>
      <c r="K248" s="2" t="s">
        <v>10</v>
      </c>
      <c r="L248" s="2">
        <v>2380</v>
      </c>
      <c r="M248" s="13">
        <v>2380</v>
      </c>
      <c r="N248" s="14">
        <v>7870326.8000000007</v>
      </c>
      <c r="O248" s="14"/>
    </row>
    <row r="249" spans="1:15" hidden="1" x14ac:dyDescent="0.3">
      <c r="A249" s="2" t="s">
        <v>747</v>
      </c>
      <c r="B249" s="2" t="s">
        <v>46</v>
      </c>
      <c r="C249" s="3">
        <v>46083.728831018518</v>
      </c>
      <c r="D249" t="s">
        <v>692</v>
      </c>
      <c r="E249" s="3" t="s">
        <v>699</v>
      </c>
      <c r="F249" s="2" t="s">
        <v>8</v>
      </c>
      <c r="G249" s="2" t="s">
        <v>726</v>
      </c>
      <c r="H249" s="2" t="s">
        <v>83</v>
      </c>
      <c r="I249" s="2" t="s">
        <v>554</v>
      </c>
      <c r="J249" s="2">
        <v>1</v>
      </c>
      <c r="K249" s="2" t="s">
        <v>10</v>
      </c>
      <c r="L249" s="2">
        <v>382.13</v>
      </c>
      <c r="M249" s="13">
        <v>382.13</v>
      </c>
      <c r="N249" s="14">
        <v>1263650.4118000001</v>
      </c>
      <c r="O249" s="14"/>
    </row>
    <row r="250" spans="1:15" hidden="1" x14ac:dyDescent="0.3">
      <c r="A250" s="2" t="s">
        <v>747</v>
      </c>
      <c r="B250" s="2" t="s">
        <v>46</v>
      </c>
      <c r="C250" s="3">
        <v>46083.728831018518</v>
      </c>
      <c r="D250" t="s">
        <v>692</v>
      </c>
      <c r="E250" s="3" t="s">
        <v>699</v>
      </c>
      <c r="F250" s="2" t="s">
        <v>8</v>
      </c>
      <c r="G250" s="2" t="s">
        <v>726</v>
      </c>
      <c r="H250" s="2" t="s">
        <v>83</v>
      </c>
      <c r="I250" s="2" t="s">
        <v>411</v>
      </c>
      <c r="J250" s="2">
        <v>7</v>
      </c>
      <c r="K250" s="2" t="s">
        <v>10</v>
      </c>
      <c r="L250" s="2">
        <v>31.61</v>
      </c>
      <c r="M250" s="13">
        <v>221.26999999999998</v>
      </c>
      <c r="N250" s="14">
        <v>731708.91220000002</v>
      </c>
      <c r="O250" s="14"/>
    </row>
    <row r="251" spans="1:15" hidden="1" x14ac:dyDescent="0.3">
      <c r="A251" s="2" t="s">
        <v>747</v>
      </c>
      <c r="B251" s="2" t="s">
        <v>46</v>
      </c>
      <c r="C251" s="3">
        <v>46083.728831018518</v>
      </c>
      <c r="D251" t="s">
        <v>692</v>
      </c>
      <c r="E251" s="3" t="s">
        <v>699</v>
      </c>
      <c r="F251" s="2" t="s">
        <v>8</v>
      </c>
      <c r="G251" s="2" t="s">
        <v>726</v>
      </c>
      <c r="H251" s="2" t="s">
        <v>79</v>
      </c>
      <c r="I251" s="2" t="s">
        <v>454</v>
      </c>
      <c r="J251" s="2">
        <v>6</v>
      </c>
      <c r="K251" s="2" t="s">
        <v>10</v>
      </c>
      <c r="L251" s="2">
        <v>22.25</v>
      </c>
      <c r="M251" s="13">
        <v>133.5</v>
      </c>
      <c r="N251" s="14">
        <v>441465.81</v>
      </c>
      <c r="O251" s="14"/>
    </row>
    <row r="252" spans="1:15" hidden="1" x14ac:dyDescent="0.3">
      <c r="A252" s="2" t="s">
        <v>747</v>
      </c>
      <c r="B252" s="2" t="s">
        <v>46</v>
      </c>
      <c r="C252" s="3">
        <v>46083.728831018518</v>
      </c>
      <c r="D252" t="s">
        <v>692</v>
      </c>
      <c r="E252" s="3" t="s">
        <v>699</v>
      </c>
      <c r="F252" s="2" t="s">
        <v>8</v>
      </c>
      <c r="G252" s="2" t="s">
        <v>726</v>
      </c>
      <c r="H252" s="2" t="s">
        <v>79</v>
      </c>
      <c r="I252" s="2" t="s">
        <v>455</v>
      </c>
      <c r="J252" s="2">
        <v>6</v>
      </c>
      <c r="K252" s="2" t="s">
        <v>10</v>
      </c>
      <c r="L252" s="2">
        <v>28.36</v>
      </c>
      <c r="M252" s="13">
        <v>170.16</v>
      </c>
      <c r="N252" s="14">
        <v>562695.29760000005</v>
      </c>
      <c r="O252" s="14"/>
    </row>
    <row r="253" spans="1:15" hidden="1" x14ac:dyDescent="0.3">
      <c r="A253" s="2" t="s">
        <v>747</v>
      </c>
      <c r="B253" s="2" t="s">
        <v>46</v>
      </c>
      <c r="C253" s="3">
        <v>46083.728831018518</v>
      </c>
      <c r="D253" t="s">
        <v>692</v>
      </c>
      <c r="E253" s="3" t="s">
        <v>699</v>
      </c>
      <c r="F253" s="2" t="s">
        <v>8</v>
      </c>
      <c r="G253" s="2" t="s">
        <v>726</v>
      </c>
      <c r="H253" s="2" t="s">
        <v>79</v>
      </c>
      <c r="I253" s="2" t="s">
        <v>555</v>
      </c>
      <c r="J253" s="2">
        <v>17</v>
      </c>
      <c r="K253" s="2" t="s">
        <v>10</v>
      </c>
      <c r="L253" s="2">
        <v>2.41</v>
      </c>
      <c r="M253" s="13">
        <v>40.97</v>
      </c>
      <c r="N253" s="14">
        <v>135482.05420000001</v>
      </c>
      <c r="O253" s="14"/>
    </row>
    <row r="254" spans="1:15" hidden="1" x14ac:dyDescent="0.3">
      <c r="A254" s="2" t="s">
        <v>747</v>
      </c>
      <c r="B254" s="2" t="s">
        <v>46</v>
      </c>
      <c r="C254" s="3">
        <v>46083.728831018518</v>
      </c>
      <c r="D254" t="s">
        <v>692</v>
      </c>
      <c r="E254" s="3" t="s">
        <v>699</v>
      </c>
      <c r="F254" s="2" t="s">
        <v>8</v>
      </c>
      <c r="G254" s="2" t="s">
        <v>726</v>
      </c>
      <c r="H254" s="2" t="s">
        <v>83</v>
      </c>
      <c r="I254" s="2" t="s">
        <v>479</v>
      </c>
      <c r="J254" s="2">
        <v>36</v>
      </c>
      <c r="K254" s="2" t="s">
        <v>10</v>
      </c>
      <c r="L254" s="2">
        <v>18.84</v>
      </c>
      <c r="M254" s="13">
        <v>678.24</v>
      </c>
      <c r="N254" s="14">
        <v>2242844.7264</v>
      </c>
      <c r="O254" s="14"/>
    </row>
    <row r="255" spans="1:15" hidden="1" x14ac:dyDescent="0.3">
      <c r="A255" s="2" t="s">
        <v>747</v>
      </c>
      <c r="B255" s="2" t="s">
        <v>46</v>
      </c>
      <c r="C255" s="3">
        <v>46083.728831018518</v>
      </c>
      <c r="D255" t="s">
        <v>692</v>
      </c>
      <c r="E255" s="3" t="s">
        <v>699</v>
      </c>
      <c r="F255" s="2" t="s">
        <v>8</v>
      </c>
      <c r="G255" s="2" t="s">
        <v>726</v>
      </c>
      <c r="H255" s="2" t="s">
        <v>79</v>
      </c>
      <c r="I255" s="2" t="s">
        <v>556</v>
      </c>
      <c r="J255" s="2">
        <v>72</v>
      </c>
      <c r="K255" s="2" t="s">
        <v>10</v>
      </c>
      <c r="L255" s="2">
        <v>3.47</v>
      </c>
      <c r="M255" s="13">
        <v>249.84</v>
      </c>
      <c r="N255" s="14">
        <v>826185.90240000002</v>
      </c>
      <c r="O255" s="14"/>
    </row>
    <row r="256" spans="1:15" hidden="1" x14ac:dyDescent="0.3">
      <c r="A256" s="2" t="s">
        <v>747</v>
      </c>
      <c r="B256" s="2" t="s">
        <v>46</v>
      </c>
      <c r="C256" s="3">
        <v>46083.728831018518</v>
      </c>
      <c r="D256" t="s">
        <v>692</v>
      </c>
      <c r="E256" s="3" t="s">
        <v>699</v>
      </c>
      <c r="F256" s="2" t="s">
        <v>8</v>
      </c>
      <c r="G256" s="2" t="s">
        <v>726</v>
      </c>
      <c r="H256" s="2" t="s">
        <v>83</v>
      </c>
      <c r="I256" s="2" t="s">
        <v>526</v>
      </c>
      <c r="J256" s="2">
        <v>2</v>
      </c>
      <c r="K256" s="2" t="s">
        <v>10</v>
      </c>
      <c r="L256" s="2">
        <v>19.829999999999998</v>
      </c>
      <c r="M256" s="13">
        <v>39.659999999999997</v>
      </c>
      <c r="N256" s="14">
        <v>131150.06759999998</v>
      </c>
      <c r="O256" s="14"/>
    </row>
    <row r="257" spans="1:15" hidden="1" x14ac:dyDescent="0.3">
      <c r="A257" s="2" t="s">
        <v>747</v>
      </c>
      <c r="B257" s="2" t="s">
        <v>46</v>
      </c>
      <c r="C257" s="3">
        <v>46083.728831018518</v>
      </c>
      <c r="D257" t="s">
        <v>692</v>
      </c>
      <c r="E257" s="3" t="s">
        <v>699</v>
      </c>
      <c r="F257" s="2" t="s">
        <v>8</v>
      </c>
      <c r="G257" s="2" t="s">
        <v>726</v>
      </c>
      <c r="H257" s="2" t="s">
        <v>92</v>
      </c>
      <c r="I257" s="2" t="s">
        <v>557</v>
      </c>
      <c r="J257" s="2">
        <v>7</v>
      </c>
      <c r="K257" s="2" t="s">
        <v>10</v>
      </c>
      <c r="L257" s="2">
        <v>269.25</v>
      </c>
      <c r="M257" s="13">
        <v>1884.75</v>
      </c>
      <c r="N257" s="14">
        <v>6232604.3849999998</v>
      </c>
      <c r="O257" s="14"/>
    </row>
    <row r="258" spans="1:15" hidden="1" x14ac:dyDescent="0.3">
      <c r="A258" s="2" t="s">
        <v>747</v>
      </c>
      <c r="B258" s="2" t="s">
        <v>46</v>
      </c>
      <c r="C258" s="3">
        <v>46083.728831018518</v>
      </c>
      <c r="D258" t="s">
        <v>692</v>
      </c>
      <c r="E258" s="3" t="s">
        <v>699</v>
      </c>
      <c r="F258" s="2" t="s">
        <v>8</v>
      </c>
      <c r="G258" s="2" t="s">
        <v>726</v>
      </c>
      <c r="H258" s="2" t="s">
        <v>90</v>
      </c>
      <c r="I258" s="2" t="s">
        <v>527</v>
      </c>
      <c r="J258" s="2">
        <v>622</v>
      </c>
      <c r="K258" s="2" t="s">
        <v>10</v>
      </c>
      <c r="L258" s="2">
        <v>7.26</v>
      </c>
      <c r="M258" s="13">
        <v>4515.72</v>
      </c>
      <c r="N258" s="14">
        <v>14932853.839200001</v>
      </c>
      <c r="O258" s="14"/>
    </row>
    <row r="259" spans="1:15" hidden="1" x14ac:dyDescent="0.3">
      <c r="A259" s="2" t="s">
        <v>747</v>
      </c>
      <c r="B259" s="2" t="s">
        <v>46</v>
      </c>
      <c r="C259" s="3">
        <v>46083.728831018518</v>
      </c>
      <c r="D259" t="s">
        <v>692</v>
      </c>
      <c r="E259" s="3" t="s">
        <v>699</v>
      </c>
      <c r="F259" s="2" t="s">
        <v>8</v>
      </c>
      <c r="G259" s="2" t="s">
        <v>726</v>
      </c>
      <c r="H259" s="2" t="s">
        <v>79</v>
      </c>
      <c r="I259" s="2" t="s">
        <v>528</v>
      </c>
      <c r="J259" s="2">
        <v>574</v>
      </c>
      <c r="K259" s="2" t="s">
        <v>10</v>
      </c>
      <c r="L259" s="2">
        <v>2.2000000000000002</v>
      </c>
      <c r="M259" s="13">
        <v>1262.8000000000002</v>
      </c>
      <c r="N259" s="14">
        <v>4175902.8080000007</v>
      </c>
      <c r="O259" s="14"/>
    </row>
    <row r="260" spans="1:15" hidden="1" x14ac:dyDescent="0.3">
      <c r="A260" s="2" t="s">
        <v>747</v>
      </c>
      <c r="B260" s="2" t="s">
        <v>46</v>
      </c>
      <c r="C260" s="3">
        <v>46083.728831018518</v>
      </c>
      <c r="D260" t="s">
        <v>692</v>
      </c>
      <c r="E260" s="3" t="s">
        <v>699</v>
      </c>
      <c r="F260" s="2" t="s">
        <v>8</v>
      </c>
      <c r="G260" s="2" t="s">
        <v>726</v>
      </c>
      <c r="H260" s="2" t="s">
        <v>79</v>
      </c>
      <c r="I260" s="2" t="s">
        <v>664</v>
      </c>
      <c r="J260" s="2">
        <v>15</v>
      </c>
      <c r="K260" s="2" t="s">
        <v>10</v>
      </c>
      <c r="L260" s="2">
        <v>42.76</v>
      </c>
      <c r="M260" s="13">
        <v>641.4</v>
      </c>
      <c r="N260" s="14">
        <v>2121020.0040000002</v>
      </c>
      <c r="O260" s="14"/>
    </row>
    <row r="261" spans="1:15" hidden="1" x14ac:dyDescent="0.3">
      <c r="A261" s="2" t="s">
        <v>747</v>
      </c>
      <c r="B261" s="2" t="s">
        <v>46</v>
      </c>
      <c r="C261" s="3">
        <v>46083.728831018518</v>
      </c>
      <c r="D261" t="s">
        <v>692</v>
      </c>
      <c r="E261" s="3" t="s">
        <v>699</v>
      </c>
      <c r="F261" s="2" t="s">
        <v>8</v>
      </c>
      <c r="G261" s="2" t="s">
        <v>726</v>
      </c>
      <c r="H261" s="2" t="s">
        <v>87</v>
      </c>
      <c r="I261" s="2" t="s">
        <v>466</v>
      </c>
      <c r="J261" s="2">
        <v>8</v>
      </c>
      <c r="K261" s="2" t="s">
        <v>10</v>
      </c>
      <c r="L261" s="2">
        <v>87.51</v>
      </c>
      <c r="M261" s="13">
        <v>700.08</v>
      </c>
      <c r="N261" s="14">
        <v>2315066.5488000005</v>
      </c>
      <c r="O261" s="14"/>
    </row>
    <row r="262" spans="1:15" hidden="1" x14ac:dyDescent="0.3">
      <c r="A262" s="2" t="s">
        <v>747</v>
      </c>
      <c r="B262" s="2" t="s">
        <v>46</v>
      </c>
      <c r="C262" s="3">
        <v>46083.728831018518</v>
      </c>
      <c r="D262" t="s">
        <v>692</v>
      </c>
      <c r="E262" s="3" t="s">
        <v>699</v>
      </c>
      <c r="F262" s="2" t="s">
        <v>8</v>
      </c>
      <c r="G262" s="2" t="s">
        <v>726</v>
      </c>
      <c r="H262" s="2" t="s">
        <v>79</v>
      </c>
      <c r="I262" s="2" t="s">
        <v>388</v>
      </c>
      <c r="J262" s="2">
        <v>8</v>
      </c>
      <c r="K262" s="2" t="s">
        <v>10</v>
      </c>
      <c r="L262" s="2">
        <v>78.17</v>
      </c>
      <c r="M262" s="13">
        <v>625.36</v>
      </c>
      <c r="N262" s="14">
        <v>2067977.9696000002</v>
      </c>
      <c r="O262" s="14"/>
    </row>
    <row r="263" spans="1:15" hidden="1" x14ac:dyDescent="0.3">
      <c r="A263" s="2" t="s">
        <v>747</v>
      </c>
      <c r="B263" s="2" t="s">
        <v>46</v>
      </c>
      <c r="C263" s="3">
        <v>46083.728831018518</v>
      </c>
      <c r="D263" t="s">
        <v>692</v>
      </c>
      <c r="E263" s="3" t="s">
        <v>699</v>
      </c>
      <c r="F263" s="2" t="s">
        <v>8</v>
      </c>
      <c r="G263" s="2" t="s">
        <v>726</v>
      </c>
      <c r="H263" s="2" t="s">
        <v>82</v>
      </c>
      <c r="I263" s="2" t="s">
        <v>536</v>
      </c>
      <c r="J263" s="2">
        <v>8</v>
      </c>
      <c r="K263" s="2" t="s">
        <v>10</v>
      </c>
      <c r="L263" s="2">
        <v>1100</v>
      </c>
      <c r="M263" s="13">
        <v>8800</v>
      </c>
      <c r="N263" s="14">
        <v>29100368</v>
      </c>
      <c r="O263" s="14"/>
    </row>
    <row r="264" spans="1:15" hidden="1" x14ac:dyDescent="0.3">
      <c r="A264" s="2" t="s">
        <v>747</v>
      </c>
      <c r="B264" s="2" t="s">
        <v>46</v>
      </c>
      <c r="C264" s="3">
        <v>46083.728831018518</v>
      </c>
      <c r="D264" t="s">
        <v>692</v>
      </c>
      <c r="E264" s="3" t="s">
        <v>699</v>
      </c>
      <c r="F264" s="2" t="s">
        <v>8</v>
      </c>
      <c r="G264" s="2" t="s">
        <v>726</v>
      </c>
      <c r="H264" s="2" t="s">
        <v>83</v>
      </c>
      <c r="I264" s="2" t="s">
        <v>558</v>
      </c>
      <c r="J264" s="2">
        <v>7</v>
      </c>
      <c r="K264" s="2" t="s">
        <v>10</v>
      </c>
      <c r="L264" s="2">
        <v>24.14</v>
      </c>
      <c r="M264" s="13">
        <v>168.98000000000002</v>
      </c>
      <c r="N264" s="14">
        <v>558793.20280000009</v>
      </c>
      <c r="O264" s="14"/>
    </row>
    <row r="265" spans="1:15" hidden="1" x14ac:dyDescent="0.3">
      <c r="A265" s="2" t="s">
        <v>747</v>
      </c>
      <c r="B265" s="2" t="s">
        <v>46</v>
      </c>
      <c r="C265" s="3">
        <v>46083.728831018518</v>
      </c>
      <c r="D265" t="s">
        <v>692</v>
      </c>
      <c r="E265" s="3" t="s">
        <v>699</v>
      </c>
      <c r="F265" s="2" t="s">
        <v>8</v>
      </c>
      <c r="G265" s="2" t="s">
        <v>726</v>
      </c>
      <c r="H265" s="2" t="s">
        <v>83</v>
      </c>
      <c r="I265" s="2" t="s">
        <v>446</v>
      </c>
      <c r="J265" s="2">
        <v>1</v>
      </c>
      <c r="K265" s="2" t="s">
        <v>10</v>
      </c>
      <c r="L265" s="2">
        <v>7046</v>
      </c>
      <c r="M265" s="13">
        <v>7046</v>
      </c>
      <c r="N265" s="14">
        <v>23300135.560000002</v>
      </c>
      <c r="O265" s="14"/>
    </row>
    <row r="266" spans="1:15" hidden="1" x14ac:dyDescent="0.3">
      <c r="A266" s="2" t="s">
        <v>747</v>
      </c>
      <c r="B266" s="2" t="s">
        <v>47</v>
      </c>
      <c r="C266" s="3">
        <v>46083.409826388888</v>
      </c>
      <c r="D266" t="s">
        <v>692</v>
      </c>
      <c r="E266" s="3" t="s">
        <v>699</v>
      </c>
      <c r="F266" s="2" t="s">
        <v>8</v>
      </c>
      <c r="G266" s="2" t="s">
        <v>726</v>
      </c>
      <c r="H266" s="2" t="s">
        <v>90</v>
      </c>
      <c r="I266" s="2" t="s">
        <v>533</v>
      </c>
      <c r="J266" s="2">
        <v>1</v>
      </c>
      <c r="K266" s="2" t="s">
        <v>10</v>
      </c>
      <c r="L266" s="2">
        <v>32.32</v>
      </c>
      <c r="M266" s="13">
        <v>32.32</v>
      </c>
      <c r="N266" s="14">
        <v>106877.71520000001</v>
      </c>
      <c r="O266" s="14"/>
    </row>
    <row r="267" spans="1:15" hidden="1" x14ac:dyDescent="0.3">
      <c r="A267" s="2" t="s">
        <v>747</v>
      </c>
      <c r="B267" s="2" t="s">
        <v>48</v>
      </c>
      <c r="C267" s="3">
        <v>46079.525173611109</v>
      </c>
      <c r="D267" t="s">
        <v>691</v>
      </c>
      <c r="E267" s="3" t="s">
        <v>699</v>
      </c>
      <c r="F267" s="2" t="s">
        <v>1</v>
      </c>
      <c r="G267" s="2" t="s">
        <v>745</v>
      </c>
      <c r="H267" s="2" t="s">
        <v>89</v>
      </c>
      <c r="I267" s="2" t="s">
        <v>524</v>
      </c>
      <c r="J267" s="2">
        <v>10</v>
      </c>
      <c r="K267" s="2" t="s">
        <v>10</v>
      </c>
      <c r="L267" s="2">
        <v>1.74</v>
      </c>
      <c r="M267" s="13">
        <v>17.399999999999999</v>
      </c>
      <c r="N267" s="14">
        <v>57539.363999999994</v>
      </c>
      <c r="O267" s="14"/>
    </row>
    <row r="268" spans="1:15" hidden="1" x14ac:dyDescent="0.3">
      <c r="A268" s="2" t="s">
        <v>747</v>
      </c>
      <c r="B268" s="2" t="s">
        <v>49</v>
      </c>
      <c r="C268" s="3">
        <v>46079.519236111111</v>
      </c>
      <c r="D268" t="s">
        <v>691</v>
      </c>
      <c r="E268" s="3" t="s">
        <v>699</v>
      </c>
      <c r="F268" s="2" t="s">
        <v>8</v>
      </c>
      <c r="G268" s="2" t="s">
        <v>726</v>
      </c>
      <c r="H268" s="2" t="s">
        <v>84</v>
      </c>
      <c r="I268" s="2" t="s">
        <v>440</v>
      </c>
      <c r="J268" s="2">
        <v>15</v>
      </c>
      <c r="K268" s="2" t="s">
        <v>10</v>
      </c>
      <c r="L268" s="2">
        <v>6.85</v>
      </c>
      <c r="M268" s="13">
        <v>102.75</v>
      </c>
      <c r="N268" s="14">
        <v>339779.86499999999</v>
      </c>
      <c r="O268" s="14"/>
    </row>
    <row r="269" spans="1:15" hidden="1" x14ac:dyDescent="0.3">
      <c r="A269" s="2" t="s">
        <v>747</v>
      </c>
      <c r="B269" s="2" t="s">
        <v>49</v>
      </c>
      <c r="C269" s="3">
        <v>46079.519236111111</v>
      </c>
      <c r="D269" t="s">
        <v>691</v>
      </c>
      <c r="E269" s="3" t="s">
        <v>699</v>
      </c>
      <c r="F269" s="2" t="s">
        <v>8</v>
      </c>
      <c r="G269" s="2" t="s">
        <v>726</v>
      </c>
      <c r="H269" s="2" t="s">
        <v>84</v>
      </c>
      <c r="I269" s="2" t="s">
        <v>439</v>
      </c>
      <c r="J269" s="2">
        <v>15</v>
      </c>
      <c r="K269" s="2" t="s">
        <v>10</v>
      </c>
      <c r="L269" s="2">
        <v>8.84</v>
      </c>
      <c r="M269" s="13">
        <v>132.6</v>
      </c>
      <c r="N269" s="14">
        <v>438489.636</v>
      </c>
      <c r="O269" s="14"/>
    </row>
    <row r="270" spans="1:15" hidden="1" x14ac:dyDescent="0.3">
      <c r="A270" s="2" t="s">
        <v>747</v>
      </c>
      <c r="B270" s="2" t="s">
        <v>49</v>
      </c>
      <c r="C270" s="3">
        <v>46079.519236111111</v>
      </c>
      <c r="D270" t="s">
        <v>691</v>
      </c>
      <c r="E270" s="3" t="s">
        <v>699</v>
      </c>
      <c r="F270" s="2" t="s">
        <v>8</v>
      </c>
      <c r="G270" s="2" t="s">
        <v>726</v>
      </c>
      <c r="H270" s="2" t="s">
        <v>79</v>
      </c>
      <c r="I270" s="2" t="s">
        <v>429</v>
      </c>
      <c r="J270" s="2">
        <v>12</v>
      </c>
      <c r="K270" s="2" t="s">
        <v>10</v>
      </c>
      <c r="L270" s="2">
        <v>1.28</v>
      </c>
      <c r="M270" s="13">
        <v>15.36</v>
      </c>
      <c r="N270" s="14">
        <v>50793.369599999998</v>
      </c>
      <c r="O270" s="14"/>
    </row>
    <row r="271" spans="1:15" hidden="1" x14ac:dyDescent="0.3">
      <c r="A271" s="2" t="s">
        <v>747</v>
      </c>
      <c r="B271" s="2" t="s">
        <v>50</v>
      </c>
      <c r="C271" s="3">
        <v>46078.498240740737</v>
      </c>
      <c r="D271" t="s">
        <v>691</v>
      </c>
      <c r="E271" s="3" t="s">
        <v>699</v>
      </c>
      <c r="F271" s="2" t="s">
        <v>9</v>
      </c>
      <c r="G271" s="2" t="s">
        <v>726</v>
      </c>
      <c r="H271" s="2" t="s">
        <v>80</v>
      </c>
      <c r="I271" s="2" t="s">
        <v>530</v>
      </c>
      <c r="J271" s="2">
        <v>3</v>
      </c>
      <c r="K271" s="2" t="s">
        <v>10</v>
      </c>
      <c r="L271" s="2">
        <v>230</v>
      </c>
      <c r="M271" s="13">
        <v>690</v>
      </c>
      <c r="N271" s="14">
        <v>2281733.4</v>
      </c>
      <c r="O271" s="14"/>
    </row>
    <row r="272" spans="1:15" hidden="1" x14ac:dyDescent="0.3">
      <c r="A272" s="2" t="s">
        <v>747</v>
      </c>
      <c r="B272" s="2" t="s">
        <v>51</v>
      </c>
      <c r="C272" s="3">
        <v>46077.401030092587</v>
      </c>
      <c r="D272" t="s">
        <v>691</v>
      </c>
      <c r="E272" s="3" t="s">
        <v>699</v>
      </c>
      <c r="F272" s="2" t="s">
        <v>8</v>
      </c>
      <c r="G272" s="2" t="s">
        <v>726</v>
      </c>
      <c r="H272" s="2" t="s">
        <v>90</v>
      </c>
      <c r="I272" s="2" t="s">
        <v>416</v>
      </c>
      <c r="J272" s="2">
        <v>2</v>
      </c>
      <c r="K272" s="2" t="s">
        <v>10</v>
      </c>
      <c r="L272" s="2">
        <v>76.02</v>
      </c>
      <c r="M272" s="13">
        <v>152.04</v>
      </c>
      <c r="N272" s="14">
        <v>502774.99439999997</v>
      </c>
      <c r="O272" s="14"/>
    </row>
    <row r="273" spans="1:15" hidden="1" x14ac:dyDescent="0.3">
      <c r="A273" s="2" t="s">
        <v>747</v>
      </c>
      <c r="B273" s="2" t="s">
        <v>52</v>
      </c>
      <c r="C273" s="3">
        <v>46076.629328703697</v>
      </c>
      <c r="D273" t="s">
        <v>691</v>
      </c>
      <c r="E273" s="3" t="s">
        <v>699</v>
      </c>
      <c r="F273" s="2" t="s">
        <v>8</v>
      </c>
      <c r="G273" s="2" t="s">
        <v>726</v>
      </c>
      <c r="H273" s="2" t="s">
        <v>83</v>
      </c>
      <c r="I273" s="2" t="s">
        <v>543</v>
      </c>
      <c r="J273" s="2">
        <v>146</v>
      </c>
      <c r="K273" s="2" t="s">
        <v>10</v>
      </c>
      <c r="L273" s="2">
        <v>21.7</v>
      </c>
      <c r="M273" s="13">
        <v>3168.2</v>
      </c>
      <c r="N273" s="14">
        <v>10476793.852</v>
      </c>
      <c r="O273" s="14"/>
    </row>
    <row r="274" spans="1:15" hidden="1" x14ac:dyDescent="0.3">
      <c r="A274" s="2" t="s">
        <v>747</v>
      </c>
      <c r="B274" s="2" t="s">
        <v>53</v>
      </c>
      <c r="C274" s="3">
        <v>46073.378969907397</v>
      </c>
      <c r="D274" t="s">
        <v>691</v>
      </c>
      <c r="E274" s="3" t="s">
        <v>699</v>
      </c>
      <c r="F274" s="2" t="s">
        <v>8</v>
      </c>
      <c r="G274" s="2" t="s">
        <v>726</v>
      </c>
      <c r="H274" s="2" t="s">
        <v>7</v>
      </c>
      <c r="I274" s="2" t="s">
        <v>559</v>
      </c>
      <c r="J274" s="2">
        <v>1</v>
      </c>
      <c r="K274" s="2" t="s">
        <v>10</v>
      </c>
      <c r="L274" s="2">
        <v>1626.31</v>
      </c>
      <c r="M274" s="13">
        <v>1626.31</v>
      </c>
      <c r="N274" s="14">
        <v>5377979.4866000004</v>
      </c>
      <c r="O274" s="14"/>
    </row>
    <row r="275" spans="1:15" hidden="1" x14ac:dyDescent="0.3">
      <c r="A275" s="2" t="s">
        <v>747</v>
      </c>
      <c r="B275" s="2" t="s">
        <v>53</v>
      </c>
      <c r="C275" s="3">
        <v>46073.378969907397</v>
      </c>
      <c r="D275" t="s">
        <v>691</v>
      </c>
      <c r="E275" s="3" t="s">
        <v>699</v>
      </c>
      <c r="F275" s="2" t="s">
        <v>8</v>
      </c>
      <c r="G275" s="2" t="s">
        <v>726</v>
      </c>
      <c r="H275" s="2" t="s">
        <v>7</v>
      </c>
      <c r="I275" s="2" t="s">
        <v>542</v>
      </c>
      <c r="J275" s="2">
        <v>1</v>
      </c>
      <c r="K275" s="2" t="s">
        <v>10</v>
      </c>
      <c r="L275" s="2">
        <v>306.58999999999997</v>
      </c>
      <c r="M275" s="13">
        <v>306.58999999999997</v>
      </c>
      <c r="N275" s="14">
        <v>1013850.2074</v>
      </c>
      <c r="O275" s="14"/>
    </row>
    <row r="276" spans="1:15" hidden="1" x14ac:dyDescent="0.3">
      <c r="A276" s="2" t="s">
        <v>747</v>
      </c>
      <c r="B276" s="2" t="s">
        <v>53</v>
      </c>
      <c r="C276" s="3">
        <v>46073.378969907397</v>
      </c>
      <c r="D276" t="s">
        <v>691</v>
      </c>
      <c r="E276" s="3" t="s">
        <v>699</v>
      </c>
      <c r="F276" s="2" t="s">
        <v>8</v>
      </c>
      <c r="G276" s="2" t="s">
        <v>726</v>
      </c>
      <c r="H276" s="2" t="s">
        <v>92</v>
      </c>
      <c r="I276" s="2" t="s">
        <v>560</v>
      </c>
      <c r="J276" s="2">
        <v>1</v>
      </c>
      <c r="K276" s="2" t="s">
        <v>10</v>
      </c>
      <c r="L276" s="2">
        <v>70.42</v>
      </c>
      <c r="M276" s="13">
        <v>70.42</v>
      </c>
      <c r="N276" s="14">
        <v>232869.08120000002</v>
      </c>
      <c r="O276" s="14"/>
    </row>
    <row r="277" spans="1:15" hidden="1" x14ac:dyDescent="0.3">
      <c r="A277" s="2" t="s">
        <v>747</v>
      </c>
      <c r="B277" s="2" t="s">
        <v>54</v>
      </c>
      <c r="C277" s="3">
        <v>46071.418877314813</v>
      </c>
      <c r="D277" t="s">
        <v>691</v>
      </c>
      <c r="E277" s="3" t="s">
        <v>699</v>
      </c>
      <c r="F277" s="2" t="s">
        <v>8</v>
      </c>
      <c r="G277" s="2" t="s">
        <v>726</v>
      </c>
      <c r="H277" s="2" t="s">
        <v>79</v>
      </c>
      <c r="I277" s="2" t="s">
        <v>430</v>
      </c>
      <c r="J277" s="2">
        <v>6</v>
      </c>
      <c r="K277" s="2" t="s">
        <v>10</v>
      </c>
      <c r="L277" s="2">
        <v>16.71</v>
      </c>
      <c r="M277" s="13">
        <v>100.26</v>
      </c>
      <c r="N277" s="14">
        <v>331545.78360000002</v>
      </c>
      <c r="O277" s="14"/>
    </row>
    <row r="278" spans="1:15" hidden="1" x14ac:dyDescent="0.3">
      <c r="A278" s="2" t="s">
        <v>747</v>
      </c>
      <c r="B278" s="2" t="s">
        <v>54</v>
      </c>
      <c r="C278" s="3">
        <v>46071.418877314813</v>
      </c>
      <c r="D278" t="s">
        <v>691</v>
      </c>
      <c r="E278" s="3" t="s">
        <v>699</v>
      </c>
      <c r="F278" s="2" t="s">
        <v>8</v>
      </c>
      <c r="G278" s="2" t="s">
        <v>726</v>
      </c>
      <c r="H278" s="2" t="s">
        <v>90</v>
      </c>
      <c r="I278" s="2" t="s">
        <v>431</v>
      </c>
      <c r="J278" s="2">
        <v>2</v>
      </c>
      <c r="K278" s="2" t="s">
        <v>10</v>
      </c>
      <c r="L278" s="2">
        <v>79.06</v>
      </c>
      <c r="M278" s="13">
        <v>158.12</v>
      </c>
      <c r="N278" s="14">
        <v>522880.70320000005</v>
      </c>
      <c r="O278" s="14"/>
    </row>
    <row r="279" spans="1:15" hidden="1" x14ac:dyDescent="0.3">
      <c r="A279" s="2" t="s">
        <v>747</v>
      </c>
      <c r="B279" s="2" t="s">
        <v>54</v>
      </c>
      <c r="C279" s="3">
        <v>46071.418877314813</v>
      </c>
      <c r="D279" t="s">
        <v>691</v>
      </c>
      <c r="E279" s="3" t="s">
        <v>699</v>
      </c>
      <c r="F279" s="2" t="s">
        <v>8</v>
      </c>
      <c r="G279" s="2" t="s">
        <v>726</v>
      </c>
      <c r="H279" s="2" t="s">
        <v>84</v>
      </c>
      <c r="I279" s="2" t="s">
        <v>572</v>
      </c>
      <c r="J279" s="2">
        <v>10</v>
      </c>
      <c r="K279" s="2" t="s">
        <v>10</v>
      </c>
      <c r="L279" s="2">
        <v>6.6</v>
      </c>
      <c r="M279" s="13">
        <v>66</v>
      </c>
      <c r="N279" s="14">
        <v>218252.76</v>
      </c>
      <c r="O279" s="14"/>
    </row>
    <row r="280" spans="1:15" hidden="1" x14ac:dyDescent="0.3">
      <c r="A280" s="2" t="s">
        <v>747</v>
      </c>
      <c r="B280" s="2" t="s">
        <v>55</v>
      </c>
      <c r="C280" s="3">
        <v>46071.416851851849</v>
      </c>
      <c r="D280" t="s">
        <v>691</v>
      </c>
      <c r="E280" s="3" t="s">
        <v>699</v>
      </c>
      <c r="F280" s="2" t="s">
        <v>8</v>
      </c>
      <c r="G280" s="2" t="s">
        <v>726</v>
      </c>
      <c r="H280" s="2" t="s">
        <v>90</v>
      </c>
      <c r="I280" s="2" t="s">
        <v>533</v>
      </c>
      <c r="J280" s="2">
        <v>7</v>
      </c>
      <c r="K280" s="2" t="s">
        <v>10</v>
      </c>
      <c r="L280" s="2">
        <v>32.32</v>
      </c>
      <c r="M280" s="13">
        <v>226.24</v>
      </c>
      <c r="N280" s="14">
        <v>748144.00640000007</v>
      </c>
      <c r="O280" s="14"/>
    </row>
    <row r="281" spans="1:15" hidden="1" x14ac:dyDescent="0.3">
      <c r="A281" s="2" t="s">
        <v>747</v>
      </c>
      <c r="B281" s="2" t="s">
        <v>56</v>
      </c>
      <c r="C281" s="3">
        <v>46070.610231481478</v>
      </c>
      <c r="D281" t="s">
        <v>691</v>
      </c>
      <c r="E281" s="3" t="s">
        <v>699</v>
      </c>
      <c r="F281" s="2" t="s">
        <v>8</v>
      </c>
      <c r="G281" s="2" t="s">
        <v>726</v>
      </c>
      <c r="H281" s="2" t="s">
        <v>87</v>
      </c>
      <c r="I281" s="2" t="s">
        <v>537</v>
      </c>
      <c r="J281" s="2">
        <v>3</v>
      </c>
      <c r="K281" s="2" t="s">
        <v>10</v>
      </c>
      <c r="L281" s="2">
        <v>813.5</v>
      </c>
      <c r="M281" s="13">
        <v>2440.5</v>
      </c>
      <c r="N281" s="14">
        <v>8070391.8300000001</v>
      </c>
      <c r="O281" s="14"/>
    </row>
    <row r="282" spans="1:15" hidden="1" x14ac:dyDescent="0.3">
      <c r="A282" s="2" t="s">
        <v>747</v>
      </c>
      <c r="B282" s="2" t="s">
        <v>56</v>
      </c>
      <c r="C282" s="3">
        <v>46070.610231481478</v>
      </c>
      <c r="D282" t="s">
        <v>691</v>
      </c>
      <c r="E282" s="3" t="s">
        <v>699</v>
      </c>
      <c r="F282" s="2" t="s">
        <v>8</v>
      </c>
      <c r="G282" s="2" t="s">
        <v>726</v>
      </c>
      <c r="H282" s="2" t="s">
        <v>79</v>
      </c>
      <c r="I282" s="2" t="s">
        <v>445</v>
      </c>
      <c r="J282" s="2">
        <v>3</v>
      </c>
      <c r="K282" s="2" t="s">
        <v>10</v>
      </c>
      <c r="L282" s="2">
        <v>31.29</v>
      </c>
      <c r="M282" s="13">
        <v>93.87</v>
      </c>
      <c r="N282" s="14">
        <v>310414.94820000004</v>
      </c>
      <c r="O282" s="14"/>
    </row>
    <row r="283" spans="1:15" hidden="1" x14ac:dyDescent="0.3">
      <c r="A283" s="2" t="s">
        <v>747</v>
      </c>
      <c r="B283" s="2" t="s">
        <v>56</v>
      </c>
      <c r="C283" s="3">
        <v>46070.610231481478</v>
      </c>
      <c r="D283" t="s">
        <v>691</v>
      </c>
      <c r="E283" s="3" t="s">
        <v>699</v>
      </c>
      <c r="F283" s="2" t="s">
        <v>8</v>
      </c>
      <c r="G283" s="2" t="s">
        <v>726</v>
      </c>
      <c r="H283" s="2" t="s">
        <v>87</v>
      </c>
      <c r="I283" s="2" t="s">
        <v>573</v>
      </c>
      <c r="J283" s="2">
        <v>63</v>
      </c>
      <c r="K283" s="2" t="s">
        <v>10</v>
      </c>
      <c r="L283" s="2">
        <v>32.18</v>
      </c>
      <c r="M283" s="13">
        <v>2027.34</v>
      </c>
      <c r="N283" s="14">
        <v>6704129.5524000004</v>
      </c>
      <c r="O283" s="14"/>
    </row>
    <row r="284" spans="1:15" hidden="1" x14ac:dyDescent="0.3">
      <c r="A284" s="2" t="s">
        <v>747</v>
      </c>
      <c r="B284" s="2" t="s">
        <v>57</v>
      </c>
      <c r="C284" s="3">
        <v>46064.74015046296</v>
      </c>
      <c r="D284" t="s">
        <v>691</v>
      </c>
      <c r="E284" s="3" t="s">
        <v>699</v>
      </c>
      <c r="F284" s="2" t="s">
        <v>8</v>
      </c>
      <c r="G284" s="2" t="s">
        <v>726</v>
      </c>
      <c r="H284" s="2" t="s">
        <v>79</v>
      </c>
      <c r="I284" s="2" t="s">
        <v>679</v>
      </c>
      <c r="J284" s="2">
        <v>7</v>
      </c>
      <c r="K284" s="2" t="s">
        <v>10</v>
      </c>
      <c r="L284" s="2">
        <v>65</v>
      </c>
      <c r="M284" s="13">
        <v>455</v>
      </c>
      <c r="N284" s="14">
        <v>1504621.3</v>
      </c>
      <c r="O284" s="14"/>
    </row>
    <row r="285" spans="1:15" hidden="1" x14ac:dyDescent="0.3">
      <c r="A285" s="2" t="s">
        <v>747</v>
      </c>
      <c r="B285" s="2" t="s">
        <v>58</v>
      </c>
      <c r="C285" s="3">
        <v>46063.501331018517</v>
      </c>
      <c r="D285" t="s">
        <v>691</v>
      </c>
      <c r="E285" s="3" t="s">
        <v>699</v>
      </c>
      <c r="F285" s="2" t="s">
        <v>8</v>
      </c>
      <c r="G285" s="2" t="s">
        <v>726</v>
      </c>
      <c r="H285" s="2" t="s">
        <v>90</v>
      </c>
      <c r="I285" s="2" t="s">
        <v>402</v>
      </c>
      <c r="J285" s="2">
        <v>20</v>
      </c>
      <c r="K285" s="2" t="s">
        <v>10</v>
      </c>
      <c r="L285" s="2">
        <v>5.64</v>
      </c>
      <c r="M285" s="13">
        <v>112.8</v>
      </c>
      <c r="N285" s="14">
        <v>373013.80800000002</v>
      </c>
      <c r="O285" s="14"/>
    </row>
    <row r="286" spans="1:15" hidden="1" x14ac:dyDescent="0.3">
      <c r="A286" s="2" t="s">
        <v>747</v>
      </c>
      <c r="B286" s="2" t="s">
        <v>59</v>
      </c>
      <c r="C286" s="3">
        <v>46058.33966435185</v>
      </c>
      <c r="D286" t="s">
        <v>691</v>
      </c>
      <c r="E286" s="3" t="s">
        <v>699</v>
      </c>
      <c r="F286" s="2" t="s">
        <v>1</v>
      </c>
      <c r="G286" s="2" t="s">
        <v>745</v>
      </c>
      <c r="H286" s="2" t="s">
        <v>89</v>
      </c>
      <c r="I286" s="2" t="s">
        <v>538</v>
      </c>
      <c r="J286" s="2">
        <v>40</v>
      </c>
      <c r="K286" s="2" t="s">
        <v>10</v>
      </c>
      <c r="L286" s="2">
        <v>7.02</v>
      </c>
      <c r="M286" s="13">
        <v>280.79999999999995</v>
      </c>
      <c r="N286" s="14">
        <v>928566.28799999994</v>
      </c>
      <c r="O286" s="14"/>
    </row>
    <row r="287" spans="1:15" hidden="1" x14ac:dyDescent="0.3">
      <c r="A287" s="2" t="s">
        <v>747</v>
      </c>
      <c r="B287" s="2" t="s">
        <v>59</v>
      </c>
      <c r="C287" s="3">
        <v>46058.33966435185</v>
      </c>
      <c r="D287" t="s">
        <v>691</v>
      </c>
      <c r="E287" s="3" t="s">
        <v>699</v>
      </c>
      <c r="F287" s="2" t="s">
        <v>1</v>
      </c>
      <c r="G287" s="2" t="s">
        <v>745</v>
      </c>
      <c r="H287" s="2" t="s">
        <v>79</v>
      </c>
      <c r="I287" s="2" t="s">
        <v>576</v>
      </c>
      <c r="J287" s="2">
        <v>100</v>
      </c>
      <c r="K287" s="2" t="s">
        <v>10</v>
      </c>
      <c r="L287" s="2">
        <v>5.88</v>
      </c>
      <c r="M287" s="13">
        <v>588</v>
      </c>
      <c r="N287" s="14">
        <v>1944433.6800000002</v>
      </c>
      <c r="O287" s="14"/>
    </row>
    <row r="288" spans="1:15" hidden="1" x14ac:dyDescent="0.3">
      <c r="A288" s="2" t="s">
        <v>747</v>
      </c>
      <c r="B288" s="2" t="s">
        <v>59</v>
      </c>
      <c r="C288" s="3">
        <v>46058.33966435185</v>
      </c>
      <c r="D288" t="s">
        <v>691</v>
      </c>
      <c r="E288" s="3" t="s">
        <v>699</v>
      </c>
      <c r="F288" s="2" t="s">
        <v>1</v>
      </c>
      <c r="G288" s="2" t="s">
        <v>745</v>
      </c>
      <c r="H288" s="2" t="s">
        <v>79</v>
      </c>
      <c r="I288" s="2" t="s">
        <v>577</v>
      </c>
      <c r="J288" s="2">
        <v>10</v>
      </c>
      <c r="K288" s="2" t="s">
        <v>10</v>
      </c>
      <c r="L288" s="2">
        <v>3.28</v>
      </c>
      <c r="M288" s="13">
        <v>32.799999999999997</v>
      </c>
      <c r="N288" s="14">
        <v>108465.008</v>
      </c>
      <c r="O288" s="14"/>
    </row>
    <row r="289" spans="1:15" hidden="1" x14ac:dyDescent="0.3">
      <c r="A289" s="2" t="s">
        <v>747</v>
      </c>
      <c r="B289" s="2" t="s">
        <v>59</v>
      </c>
      <c r="C289" s="3">
        <v>46058.33966435185</v>
      </c>
      <c r="D289" t="s">
        <v>691</v>
      </c>
      <c r="E289" s="3" t="s">
        <v>699</v>
      </c>
      <c r="F289" s="2" t="s">
        <v>1</v>
      </c>
      <c r="G289" s="2" t="s">
        <v>745</v>
      </c>
      <c r="H289" s="2" t="s">
        <v>89</v>
      </c>
      <c r="I289" s="2" t="s">
        <v>578</v>
      </c>
      <c r="J289" s="2">
        <v>10</v>
      </c>
      <c r="K289" s="2" t="s">
        <v>10</v>
      </c>
      <c r="L289" s="2">
        <v>5.56</v>
      </c>
      <c r="M289" s="13">
        <v>55.599999999999994</v>
      </c>
      <c r="N289" s="14">
        <v>183861.416</v>
      </c>
      <c r="O289" s="14"/>
    </row>
    <row r="290" spans="1:15" hidden="1" x14ac:dyDescent="0.3">
      <c r="A290" s="2" t="s">
        <v>747</v>
      </c>
      <c r="B290" s="2" t="s">
        <v>60</v>
      </c>
      <c r="C290" s="3">
        <v>46056.735694444447</v>
      </c>
      <c r="D290" t="s">
        <v>691</v>
      </c>
      <c r="E290" s="3" t="s">
        <v>699</v>
      </c>
      <c r="F290" s="2" t="s">
        <v>1</v>
      </c>
      <c r="G290" s="2" t="s">
        <v>745</v>
      </c>
      <c r="H290" s="2" t="s">
        <v>79</v>
      </c>
      <c r="I290" s="2" t="s">
        <v>576</v>
      </c>
      <c r="J290" s="2">
        <v>10</v>
      </c>
      <c r="K290" s="2" t="s">
        <v>10</v>
      </c>
      <c r="L290" s="2">
        <v>5.5</v>
      </c>
      <c r="M290" s="13">
        <v>55</v>
      </c>
      <c r="N290" s="14">
        <v>181877.30000000002</v>
      </c>
      <c r="O290" s="14"/>
    </row>
    <row r="291" spans="1:15" hidden="1" x14ac:dyDescent="0.3">
      <c r="A291" s="2" t="s">
        <v>747</v>
      </c>
      <c r="B291" s="2" t="s">
        <v>61</v>
      </c>
      <c r="C291" s="3">
        <v>46056.383750000001</v>
      </c>
      <c r="D291" t="s">
        <v>691</v>
      </c>
      <c r="E291" s="3" t="s">
        <v>699</v>
      </c>
      <c r="F291" s="2" t="s">
        <v>1</v>
      </c>
      <c r="G291" s="2" t="s">
        <v>1</v>
      </c>
      <c r="H291" s="2"/>
      <c r="I291" s="2" t="s">
        <v>478</v>
      </c>
      <c r="J291" s="2">
        <v>1</v>
      </c>
      <c r="K291" s="2" t="s">
        <v>10</v>
      </c>
      <c r="L291" s="2">
        <v>344.27</v>
      </c>
      <c r="M291" s="13">
        <v>344.27</v>
      </c>
      <c r="N291" s="14">
        <v>1138452.6921999999</v>
      </c>
      <c r="O291" s="14"/>
    </row>
    <row r="292" spans="1:15" hidden="1" x14ac:dyDescent="0.3">
      <c r="A292" s="2" t="s">
        <v>747</v>
      </c>
      <c r="B292" s="2" t="s">
        <v>61</v>
      </c>
      <c r="C292" s="3">
        <v>46056.383750000001</v>
      </c>
      <c r="D292" t="s">
        <v>691</v>
      </c>
      <c r="E292" s="3" t="s">
        <v>699</v>
      </c>
      <c r="F292" s="2" t="s">
        <v>8</v>
      </c>
      <c r="G292" s="2" t="s">
        <v>726</v>
      </c>
      <c r="H292" s="2" t="s">
        <v>79</v>
      </c>
      <c r="I292" s="2" t="s">
        <v>581</v>
      </c>
      <c r="J292" s="2">
        <v>1</v>
      </c>
      <c r="K292" s="2" t="s">
        <v>10</v>
      </c>
      <c r="L292" s="2">
        <v>31.99</v>
      </c>
      <c r="M292" s="13">
        <v>31.99</v>
      </c>
      <c r="N292" s="14">
        <v>105786.45140000001</v>
      </c>
      <c r="O292" s="14"/>
    </row>
    <row r="293" spans="1:15" hidden="1" x14ac:dyDescent="0.3">
      <c r="A293" s="2" t="s">
        <v>747</v>
      </c>
      <c r="B293" s="2" t="s">
        <v>62</v>
      </c>
      <c r="C293" s="3">
        <v>46126.538472222222</v>
      </c>
      <c r="D293" t="s">
        <v>716</v>
      </c>
      <c r="E293" s="3" t="s">
        <v>701</v>
      </c>
      <c r="F293" s="2" t="s">
        <v>2</v>
      </c>
      <c r="G293" s="2" t="s">
        <v>726</v>
      </c>
      <c r="H293" s="2" t="s">
        <v>80</v>
      </c>
      <c r="I293" s="2" t="s">
        <v>504</v>
      </c>
      <c r="J293" s="2">
        <v>80</v>
      </c>
      <c r="K293" s="2" t="s">
        <v>10</v>
      </c>
      <c r="L293" s="2">
        <v>12.49</v>
      </c>
      <c r="M293" s="13">
        <v>999.2</v>
      </c>
      <c r="N293" s="14">
        <v>3304214.5120000001</v>
      </c>
      <c r="O293" s="14"/>
    </row>
    <row r="294" spans="1:15" hidden="1" x14ac:dyDescent="0.3">
      <c r="A294" s="2" t="s">
        <v>747</v>
      </c>
      <c r="B294" s="2" t="s">
        <v>62</v>
      </c>
      <c r="C294" s="3">
        <v>46126.538472222222</v>
      </c>
      <c r="D294" t="s">
        <v>716</v>
      </c>
      <c r="E294" s="3" t="s">
        <v>701</v>
      </c>
      <c r="F294" s="2" t="s">
        <v>2</v>
      </c>
      <c r="G294" s="2" t="s">
        <v>726</v>
      </c>
      <c r="H294" s="2" t="s">
        <v>80</v>
      </c>
      <c r="I294" s="2" t="s">
        <v>505</v>
      </c>
      <c r="J294" s="2">
        <v>434</v>
      </c>
      <c r="K294" s="2" t="s">
        <v>10</v>
      </c>
      <c r="L294" s="2">
        <v>15</v>
      </c>
      <c r="M294" s="13">
        <v>6510</v>
      </c>
      <c r="N294" s="14">
        <v>21527658.600000001</v>
      </c>
      <c r="O294" s="14"/>
    </row>
    <row r="295" spans="1:15" hidden="1" x14ac:dyDescent="0.3">
      <c r="A295" s="2" t="s">
        <v>747</v>
      </c>
      <c r="B295" s="2" t="s">
        <v>62</v>
      </c>
      <c r="C295" s="3">
        <v>46126.538472222222</v>
      </c>
      <c r="D295" t="s">
        <v>716</v>
      </c>
      <c r="E295" s="3" t="s">
        <v>701</v>
      </c>
      <c r="F295" s="2" t="s">
        <v>2</v>
      </c>
      <c r="G295" s="2" t="s">
        <v>726</v>
      </c>
      <c r="H295" s="2" t="s">
        <v>80</v>
      </c>
      <c r="I295" s="2" t="s">
        <v>504</v>
      </c>
      <c r="J295" s="2">
        <v>316</v>
      </c>
      <c r="K295" s="2" t="s">
        <v>10</v>
      </c>
      <c r="L295" s="2">
        <v>12.49</v>
      </c>
      <c r="M295" s="13">
        <v>3946.84</v>
      </c>
      <c r="N295" s="14">
        <v>13051647.322400002</v>
      </c>
      <c r="O295" s="14"/>
    </row>
    <row r="296" spans="1:15" hidden="1" x14ac:dyDescent="0.3">
      <c r="A296" s="2" t="s">
        <v>747</v>
      </c>
      <c r="B296" s="2" t="s">
        <v>63</v>
      </c>
      <c r="C296" s="3">
        <v>46051.736261574071</v>
      </c>
      <c r="D296" t="s">
        <v>690</v>
      </c>
      <c r="E296" s="3" t="s">
        <v>699</v>
      </c>
      <c r="F296" s="2" t="s">
        <v>8</v>
      </c>
      <c r="G296" s="2" t="s">
        <v>726</v>
      </c>
      <c r="H296" s="2" t="s">
        <v>82</v>
      </c>
      <c r="I296" s="2" t="s">
        <v>590</v>
      </c>
      <c r="J296" s="2">
        <v>4</v>
      </c>
      <c r="K296" s="2" t="s">
        <v>10</v>
      </c>
      <c r="L296" s="2">
        <v>951.68</v>
      </c>
      <c r="M296" s="13">
        <v>3806.72</v>
      </c>
      <c r="N296" s="14">
        <v>12588290.099199999</v>
      </c>
      <c r="O296" s="14"/>
    </row>
    <row r="297" spans="1:15" hidden="1" x14ac:dyDescent="0.3">
      <c r="A297" s="2" t="s">
        <v>747</v>
      </c>
      <c r="B297" s="2" t="s">
        <v>63</v>
      </c>
      <c r="C297" s="3">
        <v>46051.736261574071</v>
      </c>
      <c r="D297" t="s">
        <v>690</v>
      </c>
      <c r="E297" s="3" t="s">
        <v>699</v>
      </c>
      <c r="F297" s="2" t="s">
        <v>8</v>
      </c>
      <c r="G297" s="2" t="s">
        <v>726</v>
      </c>
      <c r="H297" s="2" t="s">
        <v>79</v>
      </c>
      <c r="I297" s="2" t="s">
        <v>445</v>
      </c>
      <c r="J297" s="2">
        <v>0</v>
      </c>
      <c r="K297" s="2" t="s">
        <v>10</v>
      </c>
      <c r="L297" s="2">
        <v>35.25</v>
      </c>
      <c r="M297" s="13">
        <v>0</v>
      </c>
      <c r="N297" s="14">
        <v>0</v>
      </c>
      <c r="O297" s="14"/>
    </row>
    <row r="298" spans="1:15" hidden="1" x14ac:dyDescent="0.3">
      <c r="A298" s="2" t="s">
        <v>747</v>
      </c>
      <c r="B298" s="2" t="s">
        <v>64</v>
      </c>
      <c r="C298" s="3">
        <v>46069.444004629629</v>
      </c>
      <c r="D298" t="s">
        <v>691</v>
      </c>
      <c r="E298" s="3" t="s">
        <v>699</v>
      </c>
      <c r="F298" s="2" t="s">
        <v>1</v>
      </c>
      <c r="G298" s="2" t="s">
        <v>1</v>
      </c>
      <c r="H298" s="2"/>
      <c r="I298" s="2" t="s">
        <v>582</v>
      </c>
      <c r="J298" s="2">
        <v>2</v>
      </c>
      <c r="K298" s="2" t="s">
        <v>0</v>
      </c>
      <c r="L298" s="2">
        <v>63124</v>
      </c>
      <c r="M298" s="13">
        <v>126248</v>
      </c>
      <c r="N298" s="14">
        <v>126248</v>
      </c>
      <c r="O298" s="14"/>
    </row>
    <row r="299" spans="1:15" hidden="1" x14ac:dyDescent="0.3">
      <c r="A299" s="2" t="s">
        <v>747</v>
      </c>
      <c r="B299" s="2" t="s">
        <v>64</v>
      </c>
      <c r="C299" s="3">
        <v>46069.444004629629</v>
      </c>
      <c r="D299" t="s">
        <v>691</v>
      </c>
      <c r="E299" s="3" t="s">
        <v>699</v>
      </c>
      <c r="F299" s="2" t="s">
        <v>1</v>
      </c>
      <c r="G299" s="2" t="s">
        <v>1</v>
      </c>
      <c r="H299" s="2"/>
      <c r="I299" s="2" t="s">
        <v>583</v>
      </c>
      <c r="J299" s="2">
        <v>2</v>
      </c>
      <c r="K299" s="2" t="s">
        <v>0</v>
      </c>
      <c r="L299" s="2">
        <v>98943</v>
      </c>
      <c r="M299" s="13">
        <v>197886</v>
      </c>
      <c r="N299" s="14">
        <v>197886</v>
      </c>
      <c r="O299" s="14"/>
    </row>
    <row r="300" spans="1:15" hidden="1" x14ac:dyDescent="0.3">
      <c r="A300" s="2" t="s">
        <v>747</v>
      </c>
      <c r="B300" s="2" t="s">
        <v>65</v>
      </c>
      <c r="C300" s="3">
        <v>46051.359189814822</v>
      </c>
      <c r="D300" t="s">
        <v>690</v>
      </c>
      <c r="E300" s="3" t="s">
        <v>699</v>
      </c>
      <c r="F300" s="2" t="s">
        <v>2</v>
      </c>
      <c r="G300" s="2" t="s">
        <v>726</v>
      </c>
      <c r="H300" s="2" t="s">
        <v>80</v>
      </c>
      <c r="I300" s="2" t="s">
        <v>580</v>
      </c>
      <c r="J300" s="2">
        <v>60</v>
      </c>
      <c r="K300" s="2" t="s">
        <v>10</v>
      </c>
      <c r="L300" s="2">
        <v>307.01</v>
      </c>
      <c r="M300" s="13">
        <v>18420.599999999999</v>
      </c>
      <c r="N300" s="14">
        <v>60914345.316</v>
      </c>
      <c r="O300" s="14"/>
    </row>
    <row r="301" spans="1:15" hidden="1" x14ac:dyDescent="0.3">
      <c r="A301" s="2" t="s">
        <v>747</v>
      </c>
      <c r="B301" s="2" t="s">
        <v>65</v>
      </c>
      <c r="C301" s="3">
        <v>46051.359189814822</v>
      </c>
      <c r="D301" t="s">
        <v>690</v>
      </c>
      <c r="E301" s="3" t="s">
        <v>699</v>
      </c>
      <c r="F301" s="2" t="s">
        <v>2</v>
      </c>
      <c r="G301" s="2" t="s">
        <v>726</v>
      </c>
      <c r="H301" s="2" t="s">
        <v>80</v>
      </c>
      <c r="I301" s="2" t="s">
        <v>579</v>
      </c>
      <c r="J301" s="2">
        <v>1</v>
      </c>
      <c r="K301" s="2" t="s">
        <v>10</v>
      </c>
      <c r="L301" s="2">
        <v>3890</v>
      </c>
      <c r="M301" s="13">
        <v>3890</v>
      </c>
      <c r="N301" s="14">
        <v>12863685.4</v>
      </c>
      <c r="O301" s="14"/>
    </row>
    <row r="302" spans="1:15" hidden="1" x14ac:dyDescent="0.3">
      <c r="A302" s="2" t="s">
        <v>747</v>
      </c>
      <c r="B302" s="2" t="s">
        <v>66</v>
      </c>
      <c r="C302" s="3">
        <v>46050.615532407413</v>
      </c>
      <c r="D302" t="s">
        <v>690</v>
      </c>
      <c r="E302" s="3" t="s">
        <v>699</v>
      </c>
      <c r="F302" s="2" t="s">
        <v>8</v>
      </c>
      <c r="G302" s="2" t="s">
        <v>726</v>
      </c>
      <c r="H302" s="2" t="s">
        <v>79</v>
      </c>
      <c r="I302" s="2" t="s">
        <v>445</v>
      </c>
      <c r="J302" s="2">
        <v>4</v>
      </c>
      <c r="K302" s="2" t="s">
        <v>10</v>
      </c>
      <c r="L302" s="2">
        <v>35.049999999999997</v>
      </c>
      <c r="M302" s="13">
        <v>140.19999999999999</v>
      </c>
      <c r="N302" s="14">
        <v>463621.772</v>
      </c>
      <c r="O302" s="14"/>
    </row>
    <row r="303" spans="1:15" hidden="1" x14ac:dyDescent="0.3">
      <c r="A303" s="2" t="s">
        <v>747</v>
      </c>
      <c r="B303" s="2" t="s">
        <v>67</v>
      </c>
      <c r="C303" s="3">
        <v>46050.629502314812</v>
      </c>
      <c r="D303" t="s">
        <v>690</v>
      </c>
      <c r="E303" s="3" t="s">
        <v>699</v>
      </c>
      <c r="F303" s="2" t="s">
        <v>1</v>
      </c>
      <c r="G303" s="2" t="s">
        <v>745</v>
      </c>
      <c r="H303" s="2" t="s">
        <v>89</v>
      </c>
      <c r="I303" s="2" t="s">
        <v>395</v>
      </c>
      <c r="J303" s="2">
        <v>10</v>
      </c>
      <c r="K303" s="2" t="s">
        <v>10</v>
      </c>
      <c r="L303" s="2">
        <v>1.25</v>
      </c>
      <c r="M303" s="13">
        <v>12.5</v>
      </c>
      <c r="N303" s="14">
        <v>41335.75</v>
      </c>
      <c r="O303" s="14"/>
    </row>
    <row r="304" spans="1:15" hidden="1" x14ac:dyDescent="0.3">
      <c r="A304" s="2" t="s">
        <v>747</v>
      </c>
      <c r="B304" s="2" t="s">
        <v>67</v>
      </c>
      <c r="C304" s="3">
        <v>46050.629502314812</v>
      </c>
      <c r="D304" t="s">
        <v>690</v>
      </c>
      <c r="E304" s="3" t="s">
        <v>699</v>
      </c>
      <c r="F304" s="2" t="s">
        <v>1</v>
      </c>
      <c r="G304" s="2" t="s">
        <v>745</v>
      </c>
      <c r="H304" s="2" t="s">
        <v>89</v>
      </c>
      <c r="I304" s="2" t="s">
        <v>578</v>
      </c>
      <c r="J304" s="2">
        <v>10</v>
      </c>
      <c r="K304" s="2" t="s">
        <v>10</v>
      </c>
      <c r="L304" s="2">
        <v>5.91</v>
      </c>
      <c r="M304" s="13">
        <v>59.1</v>
      </c>
      <c r="N304" s="14">
        <v>195435.42600000001</v>
      </c>
      <c r="O304" s="14"/>
    </row>
    <row r="305" spans="1:15" hidden="1" x14ac:dyDescent="0.3">
      <c r="A305" s="2" t="s">
        <v>747</v>
      </c>
      <c r="B305" s="2" t="s">
        <v>67</v>
      </c>
      <c r="C305" s="3">
        <v>46050.629502314812</v>
      </c>
      <c r="D305" t="s">
        <v>690</v>
      </c>
      <c r="E305" s="3" t="s">
        <v>699</v>
      </c>
      <c r="F305" s="2" t="s">
        <v>1</v>
      </c>
      <c r="G305" s="2" t="s">
        <v>745</v>
      </c>
      <c r="H305" s="2" t="s">
        <v>79</v>
      </c>
      <c r="I305" s="2" t="s">
        <v>577</v>
      </c>
      <c r="J305" s="2">
        <v>5</v>
      </c>
      <c r="K305" s="2" t="s">
        <v>10</v>
      </c>
      <c r="L305" s="2">
        <v>3.67</v>
      </c>
      <c r="M305" s="13">
        <v>18.350000000000001</v>
      </c>
      <c r="N305" s="14">
        <v>60680.881000000008</v>
      </c>
      <c r="O305" s="14"/>
    </row>
    <row r="306" spans="1:15" hidden="1" x14ac:dyDescent="0.3">
      <c r="A306" s="2" t="s">
        <v>747</v>
      </c>
      <c r="B306" s="2" t="s">
        <v>67</v>
      </c>
      <c r="C306" s="3">
        <v>46050.629502314812</v>
      </c>
      <c r="D306" t="s">
        <v>690</v>
      </c>
      <c r="E306" s="3" t="s">
        <v>699</v>
      </c>
      <c r="F306" s="2" t="s">
        <v>1</v>
      </c>
      <c r="G306" s="2" t="s">
        <v>745</v>
      </c>
      <c r="H306" s="2" t="s">
        <v>89</v>
      </c>
      <c r="I306" s="2" t="s">
        <v>522</v>
      </c>
      <c r="J306" s="2">
        <v>10</v>
      </c>
      <c r="K306" s="2" t="s">
        <v>10</v>
      </c>
      <c r="L306" s="2">
        <v>34.880000000000003</v>
      </c>
      <c r="M306" s="13">
        <v>348.8</v>
      </c>
      <c r="N306" s="14">
        <v>1153432.7680000002</v>
      </c>
      <c r="O306" s="14"/>
    </row>
    <row r="307" spans="1:15" hidden="1" x14ac:dyDescent="0.3">
      <c r="A307" s="2" t="s">
        <v>747</v>
      </c>
      <c r="B307" s="2" t="s">
        <v>67</v>
      </c>
      <c r="C307" s="3">
        <v>46050.629502314812</v>
      </c>
      <c r="D307" t="s">
        <v>690</v>
      </c>
      <c r="E307" s="3" t="s">
        <v>699</v>
      </c>
      <c r="F307" s="2" t="s">
        <v>1</v>
      </c>
      <c r="G307" s="2" t="s">
        <v>745</v>
      </c>
      <c r="H307" s="2" t="s">
        <v>89</v>
      </c>
      <c r="I307" s="2" t="s">
        <v>476</v>
      </c>
      <c r="J307" s="2">
        <v>10</v>
      </c>
      <c r="K307" s="2" t="s">
        <v>10</v>
      </c>
      <c r="L307" s="2">
        <v>5.82</v>
      </c>
      <c r="M307" s="13">
        <v>58.2</v>
      </c>
      <c r="N307" s="14">
        <v>192459.25200000001</v>
      </c>
      <c r="O307" s="14"/>
    </row>
    <row r="308" spans="1:15" hidden="1" x14ac:dyDescent="0.3">
      <c r="A308" s="2" t="s">
        <v>747</v>
      </c>
      <c r="B308" s="2" t="s">
        <v>68</v>
      </c>
      <c r="C308" s="3">
        <v>46050.450659722221</v>
      </c>
      <c r="D308" t="s">
        <v>690</v>
      </c>
      <c r="E308" s="3" t="s">
        <v>699</v>
      </c>
      <c r="F308" s="2" t="s">
        <v>2</v>
      </c>
      <c r="G308" s="2" t="s">
        <v>726</v>
      </c>
      <c r="H308" s="2" t="s">
        <v>80</v>
      </c>
      <c r="I308" s="2" t="s">
        <v>540</v>
      </c>
      <c r="J308" s="2">
        <v>16</v>
      </c>
      <c r="K308" s="2" t="s">
        <v>10</v>
      </c>
      <c r="L308" s="2">
        <v>159.54</v>
      </c>
      <c r="M308" s="13">
        <v>2552.64</v>
      </c>
      <c r="N308" s="14">
        <v>8441223.1104000006</v>
      </c>
      <c r="O308" s="14"/>
    </row>
    <row r="309" spans="1:15" hidden="1" x14ac:dyDescent="0.3">
      <c r="A309" s="2" t="s">
        <v>747</v>
      </c>
      <c r="B309" s="2" t="s">
        <v>68</v>
      </c>
      <c r="C309" s="3">
        <v>46050.450659722221</v>
      </c>
      <c r="D309" t="s">
        <v>690</v>
      </c>
      <c r="E309" s="3" t="s">
        <v>699</v>
      </c>
      <c r="F309" s="2" t="s">
        <v>2</v>
      </c>
      <c r="G309" s="2" t="s">
        <v>726</v>
      </c>
      <c r="H309" s="2" t="s">
        <v>80</v>
      </c>
      <c r="I309" s="2" t="s">
        <v>676</v>
      </c>
      <c r="J309" s="2">
        <v>0</v>
      </c>
      <c r="K309" s="2" t="s">
        <v>10</v>
      </c>
      <c r="L309" s="2">
        <v>0</v>
      </c>
      <c r="M309" s="13">
        <v>0</v>
      </c>
      <c r="N309" s="14">
        <v>0</v>
      </c>
      <c r="O309" s="14"/>
    </row>
    <row r="310" spans="1:15" hidden="1" x14ac:dyDescent="0.3">
      <c r="A310" s="2" t="s">
        <v>747</v>
      </c>
      <c r="B310" s="2" t="s">
        <v>68</v>
      </c>
      <c r="C310" s="3">
        <v>46050.450659722221</v>
      </c>
      <c r="D310" t="s">
        <v>690</v>
      </c>
      <c r="E310" s="3" t="s">
        <v>699</v>
      </c>
      <c r="F310" s="2" t="s">
        <v>2</v>
      </c>
      <c r="G310" s="2" t="s">
        <v>726</v>
      </c>
      <c r="H310" s="2" t="s">
        <v>80</v>
      </c>
      <c r="I310" s="2" t="s">
        <v>486</v>
      </c>
      <c r="J310" s="2">
        <v>16</v>
      </c>
      <c r="K310" s="2" t="s">
        <v>10</v>
      </c>
      <c r="L310" s="2">
        <v>160</v>
      </c>
      <c r="M310" s="13">
        <v>2560</v>
      </c>
      <c r="N310" s="14">
        <v>8465561.5999999996</v>
      </c>
      <c r="O310" s="14"/>
    </row>
    <row r="311" spans="1:15" hidden="1" x14ac:dyDescent="0.3">
      <c r="A311" s="2" t="s">
        <v>747</v>
      </c>
      <c r="B311" s="2" t="s">
        <v>68</v>
      </c>
      <c r="C311" s="3">
        <v>46050.450659722221</v>
      </c>
      <c r="D311" t="s">
        <v>690</v>
      </c>
      <c r="E311" s="3" t="s">
        <v>699</v>
      </c>
      <c r="F311" s="2" t="s">
        <v>2</v>
      </c>
      <c r="G311" s="2" t="s">
        <v>726</v>
      </c>
      <c r="H311" s="2" t="s">
        <v>80</v>
      </c>
      <c r="I311" s="2" t="s">
        <v>427</v>
      </c>
      <c r="J311" s="2">
        <v>19</v>
      </c>
      <c r="K311" s="2" t="s">
        <v>10</v>
      </c>
      <c r="L311" s="2">
        <v>35.1</v>
      </c>
      <c r="M311" s="13">
        <v>666.9</v>
      </c>
      <c r="N311" s="14">
        <v>2205344.9339999999</v>
      </c>
      <c r="O311" s="14"/>
    </row>
    <row r="312" spans="1:15" hidden="1" x14ac:dyDescent="0.3">
      <c r="A312" s="2" t="s">
        <v>747</v>
      </c>
      <c r="B312" s="2" t="s">
        <v>68</v>
      </c>
      <c r="C312" s="3">
        <v>46050.450659722221</v>
      </c>
      <c r="D312" t="s">
        <v>690</v>
      </c>
      <c r="E312" s="3" t="s">
        <v>699</v>
      </c>
      <c r="F312" s="2" t="s">
        <v>2</v>
      </c>
      <c r="G312" s="2" t="s">
        <v>726</v>
      </c>
      <c r="H312" s="2" t="s">
        <v>80</v>
      </c>
      <c r="I312" s="2" t="s">
        <v>540</v>
      </c>
      <c r="J312" s="2">
        <v>3</v>
      </c>
      <c r="K312" s="2" t="s">
        <v>10</v>
      </c>
      <c r="L312" s="2">
        <v>169.54</v>
      </c>
      <c r="M312" s="13">
        <v>508.62</v>
      </c>
      <c r="N312" s="14">
        <v>1681935.1332</v>
      </c>
      <c r="O312" s="14"/>
    </row>
    <row r="313" spans="1:15" hidden="1" x14ac:dyDescent="0.3">
      <c r="A313" s="2" t="s">
        <v>747</v>
      </c>
      <c r="B313" s="2" t="s">
        <v>68</v>
      </c>
      <c r="C313" s="3">
        <v>46050.450659722221</v>
      </c>
      <c r="D313" t="s">
        <v>690</v>
      </c>
      <c r="E313" s="3" t="s">
        <v>699</v>
      </c>
      <c r="F313" s="2" t="s">
        <v>2</v>
      </c>
      <c r="G313" s="2" t="s">
        <v>726</v>
      </c>
      <c r="H313" s="2" t="s">
        <v>80</v>
      </c>
      <c r="I313" s="2" t="s">
        <v>676</v>
      </c>
      <c r="J313" s="2">
        <v>0</v>
      </c>
      <c r="K313" s="2" t="s">
        <v>10</v>
      </c>
      <c r="L313" s="2">
        <v>0</v>
      </c>
      <c r="M313" s="13">
        <v>0</v>
      </c>
      <c r="N313" s="14">
        <v>0</v>
      </c>
      <c r="O313" s="14"/>
    </row>
    <row r="314" spans="1:15" hidden="1" x14ac:dyDescent="0.3">
      <c r="A314" s="2" t="s">
        <v>747</v>
      </c>
      <c r="B314" s="2" t="s">
        <v>68</v>
      </c>
      <c r="C314" s="3">
        <v>46050.450659722221</v>
      </c>
      <c r="D314" t="s">
        <v>690</v>
      </c>
      <c r="E314" s="3" t="s">
        <v>699</v>
      </c>
      <c r="F314" s="2" t="s">
        <v>2</v>
      </c>
      <c r="G314" s="2" t="s">
        <v>726</v>
      </c>
      <c r="H314" s="2" t="s">
        <v>80</v>
      </c>
      <c r="I314" s="2" t="s">
        <v>561</v>
      </c>
      <c r="J314" s="2">
        <v>3</v>
      </c>
      <c r="K314" s="2" t="s">
        <v>10</v>
      </c>
      <c r="L314" s="2">
        <v>280</v>
      </c>
      <c r="M314" s="13">
        <v>840</v>
      </c>
      <c r="N314" s="14">
        <v>2777762.4</v>
      </c>
      <c r="O314" s="14"/>
    </row>
    <row r="315" spans="1:15" hidden="1" x14ac:dyDescent="0.3">
      <c r="A315" s="2" t="s">
        <v>747</v>
      </c>
      <c r="B315" s="2" t="s">
        <v>68</v>
      </c>
      <c r="C315" s="3">
        <v>46050.450659722221</v>
      </c>
      <c r="D315" t="s">
        <v>690</v>
      </c>
      <c r="E315" s="3" t="s">
        <v>699</v>
      </c>
      <c r="F315" s="2" t="s">
        <v>2</v>
      </c>
      <c r="G315" s="2" t="s">
        <v>726</v>
      </c>
      <c r="H315" s="2" t="s">
        <v>80</v>
      </c>
      <c r="I315" s="2" t="s">
        <v>680</v>
      </c>
      <c r="J315" s="2">
        <v>4</v>
      </c>
      <c r="K315" s="2" t="s">
        <v>10</v>
      </c>
      <c r="L315" s="2">
        <v>4979.53</v>
      </c>
      <c r="M315" s="13">
        <v>19918.12</v>
      </c>
      <c r="N315" s="14">
        <v>65866434.303199999</v>
      </c>
      <c r="O315" s="14"/>
    </row>
    <row r="316" spans="1:15" hidden="1" x14ac:dyDescent="0.3">
      <c r="A316" s="2" t="s">
        <v>747</v>
      </c>
      <c r="B316" s="2" t="s">
        <v>68</v>
      </c>
      <c r="C316" s="3">
        <v>46050.450659722221</v>
      </c>
      <c r="D316" t="s">
        <v>690</v>
      </c>
      <c r="E316" s="3" t="s">
        <v>699</v>
      </c>
      <c r="F316" s="2" t="s">
        <v>2</v>
      </c>
      <c r="G316" s="2" t="s">
        <v>726</v>
      </c>
      <c r="H316" s="2" t="s">
        <v>80</v>
      </c>
      <c r="I316" s="2" t="s">
        <v>535</v>
      </c>
      <c r="J316" s="2">
        <v>4</v>
      </c>
      <c r="K316" s="2" t="s">
        <v>10</v>
      </c>
      <c r="L316" s="2">
        <v>122.36</v>
      </c>
      <c r="M316" s="13">
        <v>489.44</v>
      </c>
      <c r="N316" s="14">
        <v>1618509.5584</v>
      </c>
      <c r="O316" s="14"/>
    </row>
    <row r="317" spans="1:15" hidden="1" x14ac:dyDescent="0.3">
      <c r="A317" s="2" t="s">
        <v>747</v>
      </c>
      <c r="B317" s="2" t="s">
        <v>68</v>
      </c>
      <c r="C317" s="3">
        <v>46050.450659722221</v>
      </c>
      <c r="D317" t="s">
        <v>690</v>
      </c>
      <c r="E317" s="3" t="s">
        <v>699</v>
      </c>
      <c r="F317" s="2" t="s">
        <v>2</v>
      </c>
      <c r="G317" s="2" t="s">
        <v>726</v>
      </c>
      <c r="H317" s="2" t="s">
        <v>80</v>
      </c>
      <c r="I317" s="2" t="s">
        <v>676</v>
      </c>
      <c r="J317" s="2">
        <v>0</v>
      </c>
      <c r="K317" s="2" t="s">
        <v>10</v>
      </c>
      <c r="L317" s="2">
        <v>0</v>
      </c>
      <c r="M317" s="13">
        <v>0</v>
      </c>
      <c r="N317" s="14">
        <v>0</v>
      </c>
      <c r="O317" s="14"/>
    </row>
    <row r="318" spans="1:15" hidden="1" x14ac:dyDescent="0.3">
      <c r="A318" s="2" t="s">
        <v>747</v>
      </c>
      <c r="B318" s="2" t="s">
        <v>68</v>
      </c>
      <c r="C318" s="3">
        <v>46050.450659722221</v>
      </c>
      <c r="D318" t="s">
        <v>690</v>
      </c>
      <c r="E318" s="3" t="s">
        <v>699</v>
      </c>
      <c r="F318" s="2" t="s">
        <v>2</v>
      </c>
      <c r="G318" s="2" t="s">
        <v>726</v>
      </c>
      <c r="H318" s="2" t="s">
        <v>80</v>
      </c>
      <c r="I318" s="2" t="s">
        <v>505</v>
      </c>
      <c r="J318" s="2">
        <v>136</v>
      </c>
      <c r="K318" s="2" t="s">
        <v>10</v>
      </c>
      <c r="L318" s="2">
        <v>15</v>
      </c>
      <c r="M318" s="13">
        <v>2040</v>
      </c>
      <c r="N318" s="14">
        <v>6745994.4000000004</v>
      </c>
      <c r="O318" s="14"/>
    </row>
    <row r="319" spans="1:15" hidden="1" x14ac:dyDescent="0.3">
      <c r="A319" s="2" t="s">
        <v>747</v>
      </c>
      <c r="B319" s="2" t="s">
        <v>68</v>
      </c>
      <c r="C319" s="3">
        <v>46050.450659722221</v>
      </c>
      <c r="D319" t="s">
        <v>690</v>
      </c>
      <c r="E319" s="3" t="s">
        <v>699</v>
      </c>
      <c r="F319" s="2" t="s">
        <v>2</v>
      </c>
      <c r="G319" s="2" t="s">
        <v>726</v>
      </c>
      <c r="H319" s="2" t="s">
        <v>80</v>
      </c>
      <c r="I319" s="2" t="s">
        <v>676</v>
      </c>
      <c r="J319" s="2">
        <v>0</v>
      </c>
      <c r="K319" s="2" t="s">
        <v>10</v>
      </c>
      <c r="L319" s="2">
        <v>0</v>
      </c>
      <c r="M319" s="13">
        <v>0</v>
      </c>
      <c r="N319" s="14">
        <v>0</v>
      </c>
      <c r="O319" s="14"/>
    </row>
    <row r="320" spans="1:15" hidden="1" x14ac:dyDescent="0.3">
      <c r="A320" s="2" t="s">
        <v>747</v>
      </c>
      <c r="B320" s="2" t="s">
        <v>68</v>
      </c>
      <c r="C320" s="3">
        <v>46050.450659722221</v>
      </c>
      <c r="D320" t="s">
        <v>690</v>
      </c>
      <c r="E320" s="3" t="s">
        <v>699</v>
      </c>
      <c r="F320" s="2" t="s">
        <v>2</v>
      </c>
      <c r="G320" s="2" t="s">
        <v>726</v>
      </c>
      <c r="H320" s="2" t="s">
        <v>80</v>
      </c>
      <c r="I320" s="2" t="s">
        <v>535</v>
      </c>
      <c r="J320" s="2">
        <v>3</v>
      </c>
      <c r="K320" s="2" t="s">
        <v>10</v>
      </c>
      <c r="L320" s="2">
        <v>402.36</v>
      </c>
      <c r="M320" s="13">
        <v>1207.08</v>
      </c>
      <c r="N320" s="14">
        <v>3991644.5688</v>
      </c>
      <c r="O320" s="14"/>
    </row>
    <row r="321" spans="1:15" hidden="1" x14ac:dyDescent="0.3">
      <c r="A321" s="2" t="s">
        <v>747</v>
      </c>
      <c r="B321" s="2" t="s">
        <v>68</v>
      </c>
      <c r="C321" s="3">
        <v>46050.450659722221</v>
      </c>
      <c r="D321" t="s">
        <v>690</v>
      </c>
      <c r="E321" s="3" t="s">
        <v>699</v>
      </c>
      <c r="F321" s="2" t="s">
        <v>2</v>
      </c>
      <c r="G321" s="2" t="s">
        <v>726</v>
      </c>
      <c r="H321" s="2" t="s">
        <v>80</v>
      </c>
      <c r="I321" s="2" t="s">
        <v>562</v>
      </c>
      <c r="J321" s="2">
        <v>3</v>
      </c>
      <c r="K321" s="2" t="s">
        <v>10</v>
      </c>
      <c r="L321" s="2">
        <v>450</v>
      </c>
      <c r="M321" s="13">
        <v>1350</v>
      </c>
      <c r="N321" s="14">
        <v>4464261</v>
      </c>
      <c r="O321" s="14"/>
    </row>
    <row r="322" spans="1:15" hidden="1" x14ac:dyDescent="0.3">
      <c r="A322" s="2" t="s">
        <v>747</v>
      </c>
      <c r="B322" s="2" t="s">
        <v>68</v>
      </c>
      <c r="C322" s="3">
        <v>46050.450659722221</v>
      </c>
      <c r="D322" t="s">
        <v>690</v>
      </c>
      <c r="E322" s="3" t="s">
        <v>699</v>
      </c>
      <c r="F322" s="2" t="s">
        <v>2</v>
      </c>
      <c r="G322" s="2" t="s">
        <v>726</v>
      </c>
      <c r="H322" s="2" t="s">
        <v>80</v>
      </c>
      <c r="I322" s="2" t="s">
        <v>535</v>
      </c>
      <c r="J322" s="2">
        <v>2</v>
      </c>
      <c r="K322" s="2" t="s">
        <v>10</v>
      </c>
      <c r="L322" s="2">
        <v>472.36</v>
      </c>
      <c r="M322" s="13">
        <v>944.72</v>
      </c>
      <c r="N322" s="14">
        <v>3124056.7792000002</v>
      </c>
      <c r="O322" s="14"/>
    </row>
    <row r="323" spans="1:15" hidden="1" x14ac:dyDescent="0.3">
      <c r="A323" s="2" t="s">
        <v>747</v>
      </c>
      <c r="B323" s="2" t="s">
        <v>68</v>
      </c>
      <c r="C323" s="3">
        <v>46050.450659722221</v>
      </c>
      <c r="D323" t="s">
        <v>690</v>
      </c>
      <c r="E323" s="3" t="s">
        <v>699</v>
      </c>
      <c r="F323" s="2" t="s">
        <v>2</v>
      </c>
      <c r="G323" s="2" t="s">
        <v>726</v>
      </c>
      <c r="H323" s="2" t="s">
        <v>80</v>
      </c>
      <c r="I323" s="2" t="s">
        <v>676</v>
      </c>
      <c r="J323" s="2">
        <v>0</v>
      </c>
      <c r="K323" s="2" t="s">
        <v>10</v>
      </c>
      <c r="L323" s="2">
        <v>0</v>
      </c>
      <c r="M323" s="13">
        <v>0</v>
      </c>
      <c r="N323" s="14">
        <v>0</v>
      </c>
      <c r="O323" s="14"/>
    </row>
    <row r="324" spans="1:15" hidden="1" x14ac:dyDescent="0.3">
      <c r="A324" s="2" t="s">
        <v>747</v>
      </c>
      <c r="B324" s="2" t="s">
        <v>68</v>
      </c>
      <c r="C324" s="3">
        <v>46050.450659722221</v>
      </c>
      <c r="D324" t="s">
        <v>690</v>
      </c>
      <c r="E324" s="3" t="s">
        <v>699</v>
      </c>
      <c r="F324" s="2" t="s">
        <v>2</v>
      </c>
      <c r="G324" s="2" t="s">
        <v>726</v>
      </c>
      <c r="H324" s="2" t="s">
        <v>80</v>
      </c>
      <c r="I324" s="2" t="s">
        <v>535</v>
      </c>
      <c r="J324" s="2">
        <v>1</v>
      </c>
      <c r="K324" s="2" t="s">
        <v>10</v>
      </c>
      <c r="L324" s="2">
        <v>582.36</v>
      </c>
      <c r="M324" s="13">
        <v>582.36</v>
      </c>
      <c r="N324" s="14">
        <v>1925782.9896000002</v>
      </c>
      <c r="O324" s="14"/>
    </row>
    <row r="325" spans="1:15" hidden="1" x14ac:dyDescent="0.3">
      <c r="A325" s="2" t="s">
        <v>747</v>
      </c>
      <c r="B325" s="2" t="s">
        <v>68</v>
      </c>
      <c r="C325" s="3">
        <v>46050.450659722221</v>
      </c>
      <c r="D325" t="s">
        <v>690</v>
      </c>
      <c r="E325" s="3" t="s">
        <v>699</v>
      </c>
      <c r="F325" s="2" t="s">
        <v>2</v>
      </c>
      <c r="G325" s="2" t="s">
        <v>726</v>
      </c>
      <c r="H325" s="2" t="s">
        <v>80</v>
      </c>
      <c r="I325" s="2" t="s">
        <v>676</v>
      </c>
      <c r="J325" s="2">
        <v>0</v>
      </c>
      <c r="K325" s="2" t="s">
        <v>10</v>
      </c>
      <c r="L325" s="2">
        <v>0</v>
      </c>
      <c r="M325" s="13">
        <v>0</v>
      </c>
      <c r="N325" s="14">
        <v>0</v>
      </c>
      <c r="O325" s="14"/>
    </row>
    <row r="326" spans="1:15" hidden="1" x14ac:dyDescent="0.3">
      <c r="A326" s="2" t="s">
        <v>747</v>
      </c>
      <c r="B326" s="2" t="s">
        <v>68</v>
      </c>
      <c r="C326" s="3">
        <v>46050.450659722221</v>
      </c>
      <c r="D326" t="s">
        <v>690</v>
      </c>
      <c r="E326" s="3" t="s">
        <v>699</v>
      </c>
      <c r="F326" s="2" t="s">
        <v>2</v>
      </c>
      <c r="G326" s="2" t="s">
        <v>726</v>
      </c>
      <c r="H326" s="2" t="s">
        <v>80</v>
      </c>
      <c r="I326" s="2" t="s">
        <v>535</v>
      </c>
      <c r="J326" s="2">
        <v>2</v>
      </c>
      <c r="K326" s="2" t="s">
        <v>10</v>
      </c>
      <c r="L326" s="2">
        <v>602.36</v>
      </c>
      <c r="M326" s="13">
        <v>1204.72</v>
      </c>
      <c r="N326" s="14">
        <v>3983840.3792000003</v>
      </c>
      <c r="O326" s="14"/>
    </row>
    <row r="327" spans="1:15" hidden="1" x14ac:dyDescent="0.3">
      <c r="A327" s="2" t="s">
        <v>747</v>
      </c>
      <c r="B327" s="2" t="s">
        <v>68</v>
      </c>
      <c r="C327" s="3">
        <v>46050.450659722221</v>
      </c>
      <c r="D327" t="s">
        <v>690</v>
      </c>
      <c r="E327" s="3" t="s">
        <v>699</v>
      </c>
      <c r="F327" s="2" t="s">
        <v>2</v>
      </c>
      <c r="G327" s="2" t="s">
        <v>726</v>
      </c>
      <c r="H327" s="2" t="s">
        <v>80</v>
      </c>
      <c r="I327" s="2" t="s">
        <v>676</v>
      </c>
      <c r="J327" s="2">
        <v>0</v>
      </c>
      <c r="K327" s="2" t="s">
        <v>10</v>
      </c>
      <c r="L327" s="2">
        <v>0</v>
      </c>
      <c r="M327" s="13">
        <v>0</v>
      </c>
      <c r="N327" s="14">
        <v>0</v>
      </c>
      <c r="O327" s="14"/>
    </row>
    <row r="328" spans="1:15" hidden="1" x14ac:dyDescent="0.3">
      <c r="A328" s="2" t="s">
        <v>747</v>
      </c>
      <c r="B328" s="2" t="s">
        <v>68</v>
      </c>
      <c r="C328" s="3">
        <v>46050.450659722221</v>
      </c>
      <c r="D328" t="s">
        <v>690</v>
      </c>
      <c r="E328" s="3" t="s">
        <v>699</v>
      </c>
      <c r="F328" s="2" t="s">
        <v>2</v>
      </c>
      <c r="G328" s="2" t="s">
        <v>726</v>
      </c>
      <c r="H328" s="2" t="s">
        <v>80</v>
      </c>
      <c r="I328" s="2" t="s">
        <v>448</v>
      </c>
      <c r="J328" s="2">
        <v>2</v>
      </c>
      <c r="K328" s="2" t="s">
        <v>10</v>
      </c>
      <c r="L328" s="2">
        <v>1200</v>
      </c>
      <c r="M328" s="13">
        <v>2400</v>
      </c>
      <c r="N328" s="14">
        <v>7936464</v>
      </c>
      <c r="O328" s="14"/>
    </row>
    <row r="329" spans="1:15" hidden="1" x14ac:dyDescent="0.3">
      <c r="A329" s="2" t="s">
        <v>747</v>
      </c>
      <c r="B329" s="2" t="s">
        <v>68</v>
      </c>
      <c r="C329" s="3">
        <v>46050.450659722221</v>
      </c>
      <c r="D329" t="s">
        <v>690</v>
      </c>
      <c r="E329" s="3" t="s">
        <v>699</v>
      </c>
      <c r="F329" s="2" t="s">
        <v>2</v>
      </c>
      <c r="G329" s="2" t="s">
        <v>726</v>
      </c>
      <c r="H329" s="2" t="s">
        <v>80</v>
      </c>
      <c r="I329" s="2" t="s">
        <v>484</v>
      </c>
      <c r="J329" s="2">
        <v>16</v>
      </c>
      <c r="K329" s="2" t="s">
        <v>10</v>
      </c>
      <c r="L329" s="2">
        <v>193.22</v>
      </c>
      <c r="M329" s="13">
        <v>3091.52</v>
      </c>
      <c r="N329" s="14">
        <v>10223223.827200001</v>
      </c>
      <c r="O329" s="14"/>
    </row>
    <row r="330" spans="1:15" hidden="1" x14ac:dyDescent="0.3">
      <c r="A330" s="2" t="s">
        <v>747</v>
      </c>
      <c r="B330" s="2" t="s">
        <v>68</v>
      </c>
      <c r="C330" s="3">
        <v>46050.450659722221</v>
      </c>
      <c r="D330" t="s">
        <v>690</v>
      </c>
      <c r="E330" s="3" t="s">
        <v>699</v>
      </c>
      <c r="F330" s="2" t="s">
        <v>2</v>
      </c>
      <c r="G330" s="2" t="s">
        <v>726</v>
      </c>
      <c r="H330" s="2" t="s">
        <v>80</v>
      </c>
      <c r="I330" s="2" t="s">
        <v>503</v>
      </c>
      <c r="J330" s="2">
        <v>15</v>
      </c>
      <c r="K330" s="2" t="s">
        <v>10</v>
      </c>
      <c r="L330" s="2">
        <v>193.22</v>
      </c>
      <c r="M330" s="13">
        <v>2898.3</v>
      </c>
      <c r="N330" s="14">
        <v>9584272.3380000014</v>
      </c>
      <c r="O330" s="14"/>
    </row>
    <row r="331" spans="1:15" hidden="1" x14ac:dyDescent="0.3">
      <c r="A331" s="2" t="s">
        <v>747</v>
      </c>
      <c r="B331" s="2" t="s">
        <v>68</v>
      </c>
      <c r="C331" s="3">
        <v>46050.450659722221</v>
      </c>
      <c r="D331" t="s">
        <v>690</v>
      </c>
      <c r="E331" s="3" t="s">
        <v>699</v>
      </c>
      <c r="F331" s="2" t="s">
        <v>2</v>
      </c>
      <c r="G331" s="2" t="s">
        <v>726</v>
      </c>
      <c r="H331" s="2" t="s">
        <v>80</v>
      </c>
      <c r="I331" s="2" t="s">
        <v>575</v>
      </c>
      <c r="J331" s="2">
        <v>0</v>
      </c>
      <c r="K331" s="2" t="s">
        <v>10</v>
      </c>
      <c r="L331" s="2">
        <v>214.43</v>
      </c>
      <c r="M331" s="13">
        <v>0</v>
      </c>
      <c r="N331" s="14">
        <v>0</v>
      </c>
      <c r="O331" s="14"/>
    </row>
    <row r="332" spans="1:15" hidden="1" x14ac:dyDescent="0.3">
      <c r="A332" s="2" t="s">
        <v>747</v>
      </c>
      <c r="B332" s="2" t="s">
        <v>69</v>
      </c>
      <c r="C332" s="3">
        <v>46050.437291666669</v>
      </c>
      <c r="D332" t="s">
        <v>690</v>
      </c>
      <c r="E332" s="3" t="s">
        <v>699</v>
      </c>
      <c r="F332" s="2" t="s">
        <v>2</v>
      </c>
      <c r="G332" s="2" t="s">
        <v>726</v>
      </c>
      <c r="H332" s="2" t="s">
        <v>80</v>
      </c>
      <c r="I332" s="2" t="s">
        <v>412</v>
      </c>
      <c r="J332" s="2">
        <v>61</v>
      </c>
      <c r="K332" s="2" t="s">
        <v>10</v>
      </c>
      <c r="L332" s="2">
        <v>418.15</v>
      </c>
      <c r="M332" s="13">
        <v>25507.149999999998</v>
      </c>
      <c r="N332" s="14">
        <v>84348574.048999995</v>
      </c>
      <c r="O332" s="14"/>
    </row>
    <row r="333" spans="1:15" hidden="1" x14ac:dyDescent="0.3">
      <c r="A333" s="2" t="s">
        <v>747</v>
      </c>
      <c r="B333" s="2" t="s">
        <v>69</v>
      </c>
      <c r="C333" s="3">
        <v>46050.437291666669</v>
      </c>
      <c r="D333" t="s">
        <v>690</v>
      </c>
      <c r="E333" s="3" t="s">
        <v>699</v>
      </c>
      <c r="F333" s="2" t="s">
        <v>2</v>
      </c>
      <c r="G333" s="2" t="s">
        <v>726</v>
      </c>
      <c r="H333" s="2" t="s">
        <v>80</v>
      </c>
      <c r="I333" s="2" t="s">
        <v>540</v>
      </c>
      <c r="J333" s="2">
        <v>65</v>
      </c>
      <c r="K333" s="2" t="s">
        <v>10</v>
      </c>
      <c r="L333" s="2">
        <v>159.54</v>
      </c>
      <c r="M333" s="13">
        <v>10370.1</v>
      </c>
      <c r="N333" s="14">
        <v>34292468.886</v>
      </c>
      <c r="O333" s="14"/>
    </row>
    <row r="334" spans="1:15" hidden="1" x14ac:dyDescent="0.3">
      <c r="A334" s="2" t="s">
        <v>747</v>
      </c>
      <c r="B334" s="2" t="s">
        <v>69</v>
      </c>
      <c r="C334" s="3">
        <v>46050.437291666669</v>
      </c>
      <c r="D334" t="s">
        <v>690</v>
      </c>
      <c r="E334" s="3" t="s">
        <v>699</v>
      </c>
      <c r="F334" s="2" t="s">
        <v>2</v>
      </c>
      <c r="G334" s="2" t="s">
        <v>726</v>
      </c>
      <c r="H334" s="2" t="s">
        <v>80</v>
      </c>
      <c r="I334" s="2" t="s">
        <v>676</v>
      </c>
      <c r="J334" s="2">
        <v>0</v>
      </c>
      <c r="K334" s="2" t="s">
        <v>10</v>
      </c>
      <c r="L334" s="2">
        <v>0</v>
      </c>
      <c r="M334" s="13">
        <v>0</v>
      </c>
      <c r="N334" s="14">
        <v>0</v>
      </c>
      <c r="O334" s="14"/>
    </row>
    <row r="335" spans="1:15" hidden="1" x14ac:dyDescent="0.3">
      <c r="A335" s="2" t="s">
        <v>747</v>
      </c>
      <c r="B335" s="2" t="s">
        <v>69</v>
      </c>
      <c r="C335" s="3">
        <v>46050.437291666669</v>
      </c>
      <c r="D335" t="s">
        <v>690</v>
      </c>
      <c r="E335" s="3" t="s">
        <v>699</v>
      </c>
      <c r="F335" s="2" t="s">
        <v>2</v>
      </c>
      <c r="G335" s="2" t="s">
        <v>726</v>
      </c>
      <c r="H335" s="2" t="s">
        <v>80</v>
      </c>
      <c r="I335" s="2" t="s">
        <v>486</v>
      </c>
      <c r="J335" s="2">
        <v>65</v>
      </c>
      <c r="K335" s="2" t="s">
        <v>10</v>
      </c>
      <c r="L335" s="2">
        <v>184.75</v>
      </c>
      <c r="M335" s="13">
        <v>12008.75</v>
      </c>
      <c r="N335" s="14">
        <v>39711255.024999999</v>
      </c>
      <c r="O335" s="14"/>
    </row>
    <row r="336" spans="1:15" hidden="1" x14ac:dyDescent="0.3">
      <c r="A336" s="2" t="s">
        <v>747</v>
      </c>
      <c r="B336" s="2" t="s">
        <v>69</v>
      </c>
      <c r="C336" s="3">
        <v>46050.437291666669</v>
      </c>
      <c r="D336" t="s">
        <v>690</v>
      </c>
      <c r="E336" s="3" t="s">
        <v>699</v>
      </c>
      <c r="F336" s="2" t="s">
        <v>2</v>
      </c>
      <c r="G336" s="2" t="s">
        <v>726</v>
      </c>
      <c r="H336" s="2" t="s">
        <v>80</v>
      </c>
      <c r="I336" s="2" t="s">
        <v>504</v>
      </c>
      <c r="J336" s="2">
        <v>1120</v>
      </c>
      <c r="K336" s="2" t="s">
        <v>10</v>
      </c>
      <c r="L336" s="2">
        <v>12.49</v>
      </c>
      <c r="M336" s="13">
        <v>13988.800000000001</v>
      </c>
      <c r="N336" s="14">
        <v>46259003.168000005</v>
      </c>
      <c r="O336" s="14"/>
    </row>
    <row r="337" spans="1:15" hidden="1" x14ac:dyDescent="0.3">
      <c r="A337" s="2" t="s">
        <v>747</v>
      </c>
      <c r="B337" s="2" t="s">
        <v>69</v>
      </c>
      <c r="C337" s="3">
        <v>46050.437291666669</v>
      </c>
      <c r="D337" t="s">
        <v>690</v>
      </c>
      <c r="E337" s="3" t="s">
        <v>699</v>
      </c>
      <c r="F337" s="2" t="s">
        <v>2</v>
      </c>
      <c r="G337" s="2" t="s">
        <v>726</v>
      </c>
      <c r="H337" s="2" t="s">
        <v>80</v>
      </c>
      <c r="I337" s="2" t="s">
        <v>427</v>
      </c>
      <c r="J337" s="2">
        <v>74</v>
      </c>
      <c r="K337" s="2" t="s">
        <v>10</v>
      </c>
      <c r="L337" s="2">
        <v>35.1</v>
      </c>
      <c r="M337" s="13">
        <v>2597.4</v>
      </c>
      <c r="N337" s="14">
        <v>8589238.1640000008</v>
      </c>
      <c r="O337" s="14"/>
    </row>
    <row r="338" spans="1:15" hidden="1" x14ac:dyDescent="0.3">
      <c r="A338" s="2" t="s">
        <v>747</v>
      </c>
      <c r="B338" s="2" t="s">
        <v>69</v>
      </c>
      <c r="C338" s="3">
        <v>46050.437291666669</v>
      </c>
      <c r="D338" t="s">
        <v>690</v>
      </c>
      <c r="E338" s="3" t="s">
        <v>699</v>
      </c>
      <c r="F338" s="2" t="s">
        <v>2</v>
      </c>
      <c r="G338" s="2" t="s">
        <v>726</v>
      </c>
      <c r="H338" s="2" t="s">
        <v>80</v>
      </c>
      <c r="I338" s="2" t="s">
        <v>681</v>
      </c>
      <c r="J338" s="2">
        <v>9</v>
      </c>
      <c r="K338" s="2" t="s">
        <v>10</v>
      </c>
      <c r="L338" s="2">
        <v>882.96</v>
      </c>
      <c r="M338" s="13">
        <v>7946.64</v>
      </c>
      <c r="N338" s="14">
        <v>26278425.950400002</v>
      </c>
      <c r="O338" s="14"/>
    </row>
    <row r="339" spans="1:15" hidden="1" x14ac:dyDescent="0.3">
      <c r="A339" s="2" t="s">
        <v>747</v>
      </c>
      <c r="B339" s="2" t="s">
        <v>69</v>
      </c>
      <c r="C339" s="3">
        <v>46050.437291666669</v>
      </c>
      <c r="D339" t="s">
        <v>690</v>
      </c>
      <c r="E339" s="3" t="s">
        <v>699</v>
      </c>
      <c r="F339" s="2" t="s">
        <v>2</v>
      </c>
      <c r="G339" s="2" t="s">
        <v>726</v>
      </c>
      <c r="H339" s="2" t="s">
        <v>80</v>
      </c>
      <c r="I339" s="2" t="s">
        <v>447</v>
      </c>
      <c r="J339" s="2">
        <v>9</v>
      </c>
      <c r="K339" s="2" t="s">
        <v>10</v>
      </c>
      <c r="L339" s="2">
        <v>877.56</v>
      </c>
      <c r="M339" s="13">
        <v>7898.0399999999991</v>
      </c>
      <c r="N339" s="14">
        <v>26117712.554399997</v>
      </c>
      <c r="O339" s="14"/>
    </row>
    <row r="340" spans="1:15" hidden="1" x14ac:dyDescent="0.3">
      <c r="A340" s="2" t="s">
        <v>747</v>
      </c>
      <c r="B340" s="2" t="s">
        <v>69</v>
      </c>
      <c r="C340" s="3">
        <v>46050.437291666669</v>
      </c>
      <c r="D340" t="s">
        <v>690</v>
      </c>
      <c r="E340" s="3" t="s">
        <v>699</v>
      </c>
      <c r="F340" s="2" t="s">
        <v>2</v>
      </c>
      <c r="G340" s="2" t="s">
        <v>726</v>
      </c>
      <c r="H340" s="2" t="s">
        <v>80</v>
      </c>
      <c r="I340" s="2" t="s">
        <v>676</v>
      </c>
      <c r="J340" s="2">
        <v>0</v>
      </c>
      <c r="K340" s="2" t="s">
        <v>10</v>
      </c>
      <c r="L340" s="2">
        <v>0</v>
      </c>
      <c r="M340" s="13">
        <v>0</v>
      </c>
      <c r="N340" s="14">
        <v>0</v>
      </c>
      <c r="O340" s="14"/>
    </row>
    <row r="341" spans="1:15" hidden="1" x14ac:dyDescent="0.3">
      <c r="A341" s="2" t="s">
        <v>747</v>
      </c>
      <c r="B341" s="2" t="s">
        <v>69</v>
      </c>
      <c r="C341" s="3">
        <v>46050.437291666669</v>
      </c>
      <c r="D341" t="s">
        <v>690</v>
      </c>
      <c r="E341" s="3" t="s">
        <v>699</v>
      </c>
      <c r="F341" s="2" t="s">
        <v>2</v>
      </c>
      <c r="G341" s="2" t="s">
        <v>726</v>
      </c>
      <c r="H341" s="2" t="s">
        <v>80</v>
      </c>
      <c r="I341" s="2" t="s">
        <v>540</v>
      </c>
      <c r="J341" s="2">
        <v>9</v>
      </c>
      <c r="K341" s="2" t="s">
        <v>10</v>
      </c>
      <c r="L341" s="2">
        <v>169.54</v>
      </c>
      <c r="M341" s="13">
        <v>1525.86</v>
      </c>
      <c r="N341" s="14">
        <v>5045805.3996000001</v>
      </c>
      <c r="O341" s="14"/>
    </row>
    <row r="342" spans="1:15" hidden="1" x14ac:dyDescent="0.3">
      <c r="A342" s="2" t="s">
        <v>747</v>
      </c>
      <c r="B342" s="2" t="s">
        <v>69</v>
      </c>
      <c r="C342" s="3">
        <v>46050.437291666669</v>
      </c>
      <c r="D342" t="s">
        <v>690</v>
      </c>
      <c r="E342" s="3" t="s">
        <v>699</v>
      </c>
      <c r="F342" s="2" t="s">
        <v>2</v>
      </c>
      <c r="G342" s="2" t="s">
        <v>726</v>
      </c>
      <c r="H342" s="2" t="s">
        <v>80</v>
      </c>
      <c r="I342" s="2" t="s">
        <v>561</v>
      </c>
      <c r="J342" s="2">
        <v>9</v>
      </c>
      <c r="K342" s="2" t="s">
        <v>10</v>
      </c>
      <c r="L342" s="2">
        <v>272.73</v>
      </c>
      <c r="M342" s="13">
        <v>2454.5700000000002</v>
      </c>
      <c r="N342" s="14">
        <v>8116919.3502000012</v>
      </c>
      <c r="O342" s="14"/>
    </row>
    <row r="343" spans="1:15" hidden="1" x14ac:dyDescent="0.3">
      <c r="A343" s="2" t="s">
        <v>747</v>
      </c>
      <c r="B343" s="2" t="s">
        <v>69</v>
      </c>
      <c r="C343" s="3">
        <v>46050.437291666669</v>
      </c>
      <c r="D343" t="s">
        <v>690</v>
      </c>
      <c r="E343" s="3" t="s">
        <v>699</v>
      </c>
      <c r="F343" s="2" t="s">
        <v>2</v>
      </c>
      <c r="G343" s="2" t="s">
        <v>726</v>
      </c>
      <c r="H343" s="2" t="s">
        <v>80</v>
      </c>
      <c r="I343" s="2" t="s">
        <v>505</v>
      </c>
      <c r="J343" s="2">
        <v>2118</v>
      </c>
      <c r="K343" s="2" t="s">
        <v>10</v>
      </c>
      <c r="L343" s="2">
        <v>15</v>
      </c>
      <c r="M343" s="13">
        <v>31770</v>
      </c>
      <c r="N343" s="14">
        <v>105058942.2</v>
      </c>
      <c r="O343" s="14"/>
    </row>
    <row r="344" spans="1:15" hidden="1" x14ac:dyDescent="0.3">
      <c r="A344" s="2" t="s">
        <v>747</v>
      </c>
      <c r="B344" s="2" t="s">
        <v>69</v>
      </c>
      <c r="C344" s="3">
        <v>46050.437291666669</v>
      </c>
      <c r="D344" t="s">
        <v>690</v>
      </c>
      <c r="E344" s="3" t="s">
        <v>699</v>
      </c>
      <c r="F344" s="2" t="s">
        <v>2</v>
      </c>
      <c r="G344" s="2" t="s">
        <v>726</v>
      </c>
      <c r="H344" s="2" t="s">
        <v>80</v>
      </c>
      <c r="I344" s="2" t="s">
        <v>680</v>
      </c>
      <c r="J344" s="2">
        <v>7</v>
      </c>
      <c r="K344" s="2" t="s">
        <v>10</v>
      </c>
      <c r="L344" s="2">
        <v>4395.0200000000004</v>
      </c>
      <c r="M344" s="13">
        <v>30765.140000000003</v>
      </c>
      <c r="N344" s="14">
        <v>101736010.86040002</v>
      </c>
      <c r="O344" s="14"/>
    </row>
    <row r="345" spans="1:15" hidden="1" x14ac:dyDescent="0.3">
      <c r="A345" s="2" t="s">
        <v>747</v>
      </c>
      <c r="B345" s="2" t="s">
        <v>69</v>
      </c>
      <c r="C345" s="3">
        <v>46050.437291666669</v>
      </c>
      <c r="D345" t="s">
        <v>690</v>
      </c>
      <c r="E345" s="3" t="s">
        <v>699</v>
      </c>
      <c r="F345" s="2" t="s">
        <v>2</v>
      </c>
      <c r="G345" s="2" t="s">
        <v>726</v>
      </c>
      <c r="H345" s="2" t="s">
        <v>80</v>
      </c>
      <c r="I345" s="2" t="s">
        <v>508</v>
      </c>
      <c r="J345" s="2">
        <v>3</v>
      </c>
      <c r="K345" s="2" t="s">
        <v>10</v>
      </c>
      <c r="L345" s="2">
        <v>4395.0200000000004</v>
      </c>
      <c r="M345" s="13">
        <v>13185.060000000001</v>
      </c>
      <c r="N345" s="14">
        <v>43601147.511600003</v>
      </c>
      <c r="O345" s="14"/>
    </row>
    <row r="346" spans="1:15" hidden="1" x14ac:dyDescent="0.3">
      <c r="A346" s="2" t="s">
        <v>747</v>
      </c>
      <c r="B346" s="2" t="s">
        <v>69</v>
      </c>
      <c r="C346" s="3">
        <v>46050.437291666669</v>
      </c>
      <c r="D346" t="s">
        <v>690</v>
      </c>
      <c r="E346" s="3" t="s">
        <v>699</v>
      </c>
      <c r="F346" s="2" t="s">
        <v>2</v>
      </c>
      <c r="G346" s="2" t="s">
        <v>726</v>
      </c>
      <c r="H346" s="2" t="s">
        <v>80</v>
      </c>
      <c r="I346" s="2" t="s">
        <v>676</v>
      </c>
      <c r="J346" s="2">
        <v>0</v>
      </c>
      <c r="K346" s="2" t="s">
        <v>10</v>
      </c>
      <c r="L346" s="2">
        <v>0</v>
      </c>
      <c r="M346" s="13">
        <v>0</v>
      </c>
      <c r="N346" s="14">
        <v>0</v>
      </c>
      <c r="O346" s="14"/>
    </row>
    <row r="347" spans="1:15" hidden="1" x14ac:dyDescent="0.3">
      <c r="A347" s="2" t="s">
        <v>747</v>
      </c>
      <c r="B347" s="2" t="s">
        <v>69</v>
      </c>
      <c r="C347" s="3">
        <v>46050.437291666669</v>
      </c>
      <c r="D347" t="s">
        <v>690</v>
      </c>
      <c r="E347" s="3" t="s">
        <v>699</v>
      </c>
      <c r="F347" s="2" t="s">
        <v>2</v>
      </c>
      <c r="G347" s="2" t="s">
        <v>726</v>
      </c>
      <c r="H347" s="2" t="s">
        <v>80</v>
      </c>
      <c r="I347" s="2" t="s">
        <v>477</v>
      </c>
      <c r="J347" s="2">
        <v>2</v>
      </c>
      <c r="K347" s="2" t="s">
        <v>10</v>
      </c>
      <c r="L347" s="2">
        <v>5019.99</v>
      </c>
      <c r="M347" s="13">
        <v>10039.98</v>
      </c>
      <c r="N347" s="14">
        <v>33200808.262800001</v>
      </c>
      <c r="O347" s="14"/>
    </row>
    <row r="348" spans="1:15" hidden="1" x14ac:dyDescent="0.3">
      <c r="A348" s="2" t="s">
        <v>747</v>
      </c>
      <c r="B348" s="2" t="s">
        <v>69</v>
      </c>
      <c r="C348" s="3">
        <v>46050.437291666669</v>
      </c>
      <c r="D348" t="s">
        <v>690</v>
      </c>
      <c r="E348" s="3" t="s">
        <v>699</v>
      </c>
      <c r="F348" s="2" t="s">
        <v>2</v>
      </c>
      <c r="G348" s="2" t="s">
        <v>726</v>
      </c>
      <c r="H348" s="2" t="s">
        <v>80</v>
      </c>
      <c r="I348" s="2" t="s">
        <v>509</v>
      </c>
      <c r="J348" s="2">
        <v>3</v>
      </c>
      <c r="K348" s="2" t="s">
        <v>10</v>
      </c>
      <c r="L348" s="2">
        <v>5019.99</v>
      </c>
      <c r="M348" s="13">
        <v>15059.97</v>
      </c>
      <c r="N348" s="14">
        <v>49801212.394199997</v>
      </c>
      <c r="O348" s="14"/>
    </row>
    <row r="349" spans="1:15" hidden="1" x14ac:dyDescent="0.3">
      <c r="A349" s="2" t="s">
        <v>747</v>
      </c>
      <c r="B349" s="2" t="s">
        <v>69</v>
      </c>
      <c r="C349" s="3">
        <v>46050.437291666669</v>
      </c>
      <c r="D349" t="s">
        <v>690</v>
      </c>
      <c r="E349" s="3" t="s">
        <v>699</v>
      </c>
      <c r="F349" s="2" t="s">
        <v>2</v>
      </c>
      <c r="G349" s="2" t="s">
        <v>726</v>
      </c>
      <c r="H349" s="2" t="s">
        <v>80</v>
      </c>
      <c r="I349" s="2" t="s">
        <v>676</v>
      </c>
      <c r="J349" s="2">
        <v>0</v>
      </c>
      <c r="K349" s="2" t="s">
        <v>10</v>
      </c>
      <c r="L349" s="2">
        <v>0</v>
      </c>
      <c r="M349" s="13">
        <v>0</v>
      </c>
      <c r="N349" s="14">
        <v>0</v>
      </c>
      <c r="O349" s="14"/>
    </row>
    <row r="350" spans="1:15" hidden="1" x14ac:dyDescent="0.3">
      <c r="A350" s="2" t="s">
        <v>747</v>
      </c>
      <c r="B350" s="2" t="s">
        <v>69</v>
      </c>
      <c r="C350" s="3">
        <v>46050.437291666669</v>
      </c>
      <c r="D350" t="s">
        <v>690</v>
      </c>
      <c r="E350" s="3" t="s">
        <v>699</v>
      </c>
      <c r="F350" s="2" t="s">
        <v>2</v>
      </c>
      <c r="G350" s="2" t="s">
        <v>726</v>
      </c>
      <c r="H350" s="2" t="s">
        <v>80</v>
      </c>
      <c r="I350" s="2" t="s">
        <v>562</v>
      </c>
      <c r="J350" s="2">
        <v>5</v>
      </c>
      <c r="K350" s="2" t="s">
        <v>10</v>
      </c>
      <c r="L350" s="2">
        <v>444.3</v>
      </c>
      <c r="M350" s="13">
        <v>2221.5</v>
      </c>
      <c r="N350" s="14">
        <v>7346189.4900000002</v>
      </c>
      <c r="O350" s="14"/>
    </row>
    <row r="351" spans="1:15" hidden="1" x14ac:dyDescent="0.3">
      <c r="A351" s="2" t="s">
        <v>747</v>
      </c>
      <c r="B351" s="2" t="s">
        <v>69</v>
      </c>
      <c r="C351" s="3">
        <v>46050.437291666669</v>
      </c>
      <c r="D351" t="s">
        <v>690</v>
      </c>
      <c r="E351" s="3" t="s">
        <v>699</v>
      </c>
      <c r="F351" s="2" t="s">
        <v>2</v>
      </c>
      <c r="G351" s="2" t="s">
        <v>726</v>
      </c>
      <c r="H351" s="2" t="s">
        <v>80</v>
      </c>
      <c r="I351" s="2" t="s">
        <v>672</v>
      </c>
      <c r="J351" s="2">
        <v>7</v>
      </c>
      <c r="K351" s="2" t="s">
        <v>10</v>
      </c>
      <c r="L351" s="2">
        <v>6878.6</v>
      </c>
      <c r="M351" s="13">
        <v>48150.200000000004</v>
      </c>
      <c r="N351" s="14">
        <v>159225970.37200001</v>
      </c>
      <c r="O351" s="14"/>
    </row>
    <row r="352" spans="1:15" hidden="1" x14ac:dyDescent="0.3">
      <c r="A352" s="2" t="s">
        <v>747</v>
      </c>
      <c r="B352" s="2" t="s">
        <v>69</v>
      </c>
      <c r="C352" s="3">
        <v>46050.437291666669</v>
      </c>
      <c r="D352" t="s">
        <v>690</v>
      </c>
      <c r="E352" s="3" t="s">
        <v>699</v>
      </c>
      <c r="F352" s="2" t="s">
        <v>2</v>
      </c>
      <c r="G352" s="2" t="s">
        <v>726</v>
      </c>
      <c r="H352" s="2" t="s">
        <v>80</v>
      </c>
      <c r="I352" s="2" t="s">
        <v>676</v>
      </c>
      <c r="J352" s="2">
        <v>0</v>
      </c>
      <c r="K352" s="2" t="s">
        <v>10</v>
      </c>
      <c r="L352" s="2">
        <v>0</v>
      </c>
      <c r="M352" s="13">
        <v>0</v>
      </c>
      <c r="N352" s="14">
        <v>0</v>
      </c>
      <c r="O352" s="14"/>
    </row>
    <row r="353" spans="1:15" hidden="1" x14ac:dyDescent="0.3">
      <c r="A353" s="2" t="s">
        <v>747</v>
      </c>
      <c r="B353" s="2" t="s">
        <v>69</v>
      </c>
      <c r="C353" s="3">
        <v>46050.437291666669</v>
      </c>
      <c r="D353" t="s">
        <v>690</v>
      </c>
      <c r="E353" s="3" t="s">
        <v>699</v>
      </c>
      <c r="F353" s="2" t="s">
        <v>2</v>
      </c>
      <c r="G353" s="2" t="s">
        <v>726</v>
      </c>
      <c r="H353" s="2" t="s">
        <v>80</v>
      </c>
      <c r="I353" s="2" t="s">
        <v>425</v>
      </c>
      <c r="J353" s="2">
        <v>11</v>
      </c>
      <c r="K353" s="2" t="s">
        <v>10</v>
      </c>
      <c r="L353" s="2">
        <v>7340.46</v>
      </c>
      <c r="M353" s="13">
        <v>80745.06</v>
      </c>
      <c r="N353" s="14">
        <v>267012609.11160001</v>
      </c>
      <c r="O353" s="14"/>
    </row>
    <row r="354" spans="1:15" hidden="1" x14ac:dyDescent="0.3">
      <c r="A354" s="2" t="s">
        <v>747</v>
      </c>
      <c r="B354" s="2" t="s">
        <v>69</v>
      </c>
      <c r="C354" s="3">
        <v>46050.437291666669</v>
      </c>
      <c r="D354" t="s">
        <v>690</v>
      </c>
      <c r="E354" s="3" t="s">
        <v>699</v>
      </c>
      <c r="F354" s="2" t="s">
        <v>2</v>
      </c>
      <c r="G354" s="2" t="s">
        <v>726</v>
      </c>
      <c r="H354" s="2" t="s">
        <v>80</v>
      </c>
      <c r="I354" s="2" t="s">
        <v>676</v>
      </c>
      <c r="J354" s="2">
        <v>0</v>
      </c>
      <c r="K354" s="2" t="s">
        <v>10</v>
      </c>
      <c r="L354" s="2">
        <v>0</v>
      </c>
      <c r="M354" s="13">
        <v>0</v>
      </c>
      <c r="N354" s="14">
        <v>0</v>
      </c>
      <c r="O354" s="14"/>
    </row>
    <row r="355" spans="1:15" hidden="1" x14ac:dyDescent="0.3">
      <c r="A355" s="2" t="s">
        <v>747</v>
      </c>
      <c r="B355" s="2" t="s">
        <v>69</v>
      </c>
      <c r="C355" s="3">
        <v>46050.437291666669</v>
      </c>
      <c r="D355" t="s">
        <v>690</v>
      </c>
      <c r="E355" s="3" t="s">
        <v>699</v>
      </c>
      <c r="F355" s="2" t="s">
        <v>2</v>
      </c>
      <c r="G355" s="2" t="s">
        <v>726</v>
      </c>
      <c r="H355" s="2" t="s">
        <v>80</v>
      </c>
      <c r="I355" s="2" t="s">
        <v>473</v>
      </c>
      <c r="J355" s="2">
        <v>10</v>
      </c>
      <c r="K355" s="2" t="s">
        <v>10</v>
      </c>
      <c r="L355" s="2">
        <v>8170.55</v>
      </c>
      <c r="M355" s="13">
        <v>81705.5</v>
      </c>
      <c r="N355" s="14">
        <v>270188649.73000002</v>
      </c>
      <c r="O355" s="14"/>
    </row>
    <row r="356" spans="1:15" hidden="1" x14ac:dyDescent="0.3">
      <c r="A356" s="2" t="s">
        <v>747</v>
      </c>
      <c r="B356" s="2" t="s">
        <v>69</v>
      </c>
      <c r="C356" s="3">
        <v>46050.437291666669</v>
      </c>
      <c r="D356" t="s">
        <v>690</v>
      </c>
      <c r="E356" s="3" t="s">
        <v>699</v>
      </c>
      <c r="F356" s="2" t="s">
        <v>2</v>
      </c>
      <c r="G356" s="2" t="s">
        <v>726</v>
      </c>
      <c r="H356" s="2" t="s">
        <v>80</v>
      </c>
      <c r="I356" s="2" t="s">
        <v>676</v>
      </c>
      <c r="J356" s="2">
        <v>0</v>
      </c>
      <c r="K356" s="2" t="s">
        <v>10</v>
      </c>
      <c r="L356" s="2">
        <v>0</v>
      </c>
      <c r="M356" s="13">
        <v>0</v>
      </c>
      <c r="N356" s="14">
        <v>0</v>
      </c>
      <c r="O356" s="14"/>
    </row>
    <row r="357" spans="1:15" hidden="1" x14ac:dyDescent="0.3">
      <c r="A357" s="2" t="s">
        <v>747</v>
      </c>
      <c r="B357" s="2" t="s">
        <v>69</v>
      </c>
      <c r="C357" s="3">
        <v>46050.437291666669</v>
      </c>
      <c r="D357" t="s">
        <v>690</v>
      </c>
      <c r="E357" s="3" t="s">
        <v>699</v>
      </c>
      <c r="F357" s="2" t="s">
        <v>2</v>
      </c>
      <c r="G357" s="2" t="s">
        <v>726</v>
      </c>
      <c r="H357" s="2" t="s">
        <v>80</v>
      </c>
      <c r="I357" s="2" t="s">
        <v>474</v>
      </c>
      <c r="J357" s="2">
        <v>340</v>
      </c>
      <c r="K357" s="2" t="s">
        <v>10</v>
      </c>
      <c r="L357" s="2">
        <v>107.54</v>
      </c>
      <c r="M357" s="13">
        <v>36563.599999999999</v>
      </c>
      <c r="N357" s="14">
        <v>120910706.296</v>
      </c>
      <c r="O357" s="14"/>
    </row>
    <row r="358" spans="1:15" hidden="1" x14ac:dyDescent="0.3">
      <c r="A358" s="2" t="s">
        <v>747</v>
      </c>
      <c r="B358" s="2" t="s">
        <v>69</v>
      </c>
      <c r="C358" s="3">
        <v>46050.437291666669</v>
      </c>
      <c r="D358" t="s">
        <v>690</v>
      </c>
      <c r="E358" s="3" t="s">
        <v>699</v>
      </c>
      <c r="F358" s="2" t="s">
        <v>2</v>
      </c>
      <c r="G358" s="2" t="s">
        <v>726</v>
      </c>
      <c r="H358" s="2" t="s">
        <v>80</v>
      </c>
      <c r="I358" s="2" t="s">
        <v>448</v>
      </c>
      <c r="J358" s="2">
        <v>10</v>
      </c>
      <c r="K358" s="2" t="s">
        <v>10</v>
      </c>
      <c r="L358" s="2">
        <v>1150.3900000000001</v>
      </c>
      <c r="M358" s="13">
        <v>11503.900000000001</v>
      </c>
      <c r="N358" s="14">
        <v>38041786.754000008</v>
      </c>
      <c r="O358" s="14"/>
    </row>
    <row r="359" spans="1:15" hidden="1" x14ac:dyDescent="0.3">
      <c r="A359" s="2" t="s">
        <v>747</v>
      </c>
      <c r="B359" s="2" t="s">
        <v>69</v>
      </c>
      <c r="C359" s="3">
        <v>46050.437291666669</v>
      </c>
      <c r="D359" t="s">
        <v>690</v>
      </c>
      <c r="E359" s="3" t="s">
        <v>699</v>
      </c>
      <c r="F359" s="2" t="s">
        <v>2</v>
      </c>
      <c r="G359" s="2" t="s">
        <v>726</v>
      </c>
      <c r="H359" s="2" t="s">
        <v>80</v>
      </c>
      <c r="I359" s="2" t="s">
        <v>488</v>
      </c>
      <c r="J359" s="2">
        <v>4</v>
      </c>
      <c r="K359" s="2" t="s">
        <v>10</v>
      </c>
      <c r="L359" s="2">
        <v>12326.85</v>
      </c>
      <c r="M359" s="13">
        <v>49307.4</v>
      </c>
      <c r="N359" s="14">
        <v>163052668.764</v>
      </c>
      <c r="O359" s="14"/>
    </row>
    <row r="360" spans="1:15" hidden="1" x14ac:dyDescent="0.3">
      <c r="A360" s="2" t="s">
        <v>747</v>
      </c>
      <c r="B360" s="2" t="s">
        <v>69</v>
      </c>
      <c r="C360" s="3">
        <v>46050.437291666669</v>
      </c>
      <c r="D360" t="s">
        <v>690</v>
      </c>
      <c r="E360" s="3" t="s">
        <v>699</v>
      </c>
      <c r="F360" s="2" t="s">
        <v>2</v>
      </c>
      <c r="G360" s="2" t="s">
        <v>726</v>
      </c>
      <c r="H360" s="2" t="s">
        <v>80</v>
      </c>
      <c r="I360" s="2" t="s">
        <v>676</v>
      </c>
      <c r="J360" s="2">
        <v>0</v>
      </c>
      <c r="K360" s="2" t="s">
        <v>10</v>
      </c>
      <c r="L360" s="2">
        <v>0</v>
      </c>
      <c r="M360" s="13">
        <v>0</v>
      </c>
      <c r="N360" s="14">
        <v>0</v>
      </c>
      <c r="O360" s="14"/>
    </row>
    <row r="361" spans="1:15" hidden="1" x14ac:dyDescent="0.3">
      <c r="A361" s="2" t="s">
        <v>747</v>
      </c>
      <c r="B361" s="2" t="s">
        <v>69</v>
      </c>
      <c r="C361" s="3">
        <v>46050.437291666669</v>
      </c>
      <c r="D361" t="s">
        <v>690</v>
      </c>
      <c r="E361" s="3" t="s">
        <v>699</v>
      </c>
      <c r="F361" s="2" t="s">
        <v>2</v>
      </c>
      <c r="G361" s="2" t="s">
        <v>726</v>
      </c>
      <c r="H361" s="2" t="s">
        <v>80</v>
      </c>
      <c r="I361" s="2" t="s">
        <v>574</v>
      </c>
      <c r="J361" s="2">
        <v>4</v>
      </c>
      <c r="K361" s="2" t="s">
        <v>10</v>
      </c>
      <c r="L361" s="2">
        <v>1180</v>
      </c>
      <c r="M361" s="13">
        <v>4720</v>
      </c>
      <c r="N361" s="14">
        <v>15608379.200000001</v>
      </c>
      <c r="O361" s="14"/>
    </row>
    <row r="362" spans="1:15" hidden="1" x14ac:dyDescent="0.3">
      <c r="A362" s="2" t="s">
        <v>747</v>
      </c>
      <c r="B362" s="2" t="s">
        <v>69</v>
      </c>
      <c r="C362" s="3">
        <v>46050.437291666669</v>
      </c>
      <c r="D362" t="s">
        <v>690</v>
      </c>
      <c r="E362" s="3" t="s">
        <v>699</v>
      </c>
      <c r="F362" s="2" t="s">
        <v>2</v>
      </c>
      <c r="G362" s="2" t="s">
        <v>726</v>
      </c>
      <c r="H362" s="2" t="s">
        <v>80</v>
      </c>
      <c r="I362" s="2" t="s">
        <v>584</v>
      </c>
      <c r="J362" s="2">
        <v>1</v>
      </c>
      <c r="K362" s="2" t="s">
        <v>10</v>
      </c>
      <c r="L362" s="2">
        <v>22050.85</v>
      </c>
      <c r="M362" s="13">
        <v>22050.85</v>
      </c>
      <c r="N362" s="14">
        <v>72919073.831</v>
      </c>
      <c r="O362" s="14"/>
    </row>
    <row r="363" spans="1:15" hidden="1" x14ac:dyDescent="0.3">
      <c r="A363" s="2" t="s">
        <v>747</v>
      </c>
      <c r="B363" s="2" t="s">
        <v>69</v>
      </c>
      <c r="C363" s="3">
        <v>46050.437291666669</v>
      </c>
      <c r="D363" t="s">
        <v>690</v>
      </c>
      <c r="E363" s="3" t="s">
        <v>699</v>
      </c>
      <c r="F363" s="2" t="s">
        <v>2</v>
      </c>
      <c r="G363" s="2" t="s">
        <v>726</v>
      </c>
      <c r="H363" s="2" t="s">
        <v>80</v>
      </c>
      <c r="I363" s="2" t="s">
        <v>676</v>
      </c>
      <c r="J363" s="2">
        <v>0</v>
      </c>
      <c r="K363" s="2" t="s">
        <v>10</v>
      </c>
      <c r="L363" s="2">
        <v>0</v>
      </c>
      <c r="M363" s="13">
        <v>0</v>
      </c>
      <c r="N363" s="14">
        <v>0</v>
      </c>
      <c r="O363" s="14"/>
    </row>
    <row r="364" spans="1:15" hidden="1" x14ac:dyDescent="0.3">
      <c r="A364" s="2" t="s">
        <v>747</v>
      </c>
      <c r="B364" s="2" t="s">
        <v>69</v>
      </c>
      <c r="C364" s="3">
        <v>46050.437291666669</v>
      </c>
      <c r="D364" t="s">
        <v>690</v>
      </c>
      <c r="E364" s="3" t="s">
        <v>699</v>
      </c>
      <c r="F364" s="2" t="s">
        <v>2</v>
      </c>
      <c r="G364" s="2" t="s">
        <v>726</v>
      </c>
      <c r="H364" s="2" t="s">
        <v>80</v>
      </c>
      <c r="I364" s="2" t="s">
        <v>563</v>
      </c>
      <c r="J364" s="2">
        <v>1</v>
      </c>
      <c r="K364" s="2" t="s">
        <v>10</v>
      </c>
      <c r="L364" s="2">
        <v>1500</v>
      </c>
      <c r="M364" s="13">
        <v>1500</v>
      </c>
      <c r="N364" s="14">
        <v>4960290</v>
      </c>
      <c r="O364" s="14"/>
    </row>
    <row r="365" spans="1:15" hidden="1" x14ac:dyDescent="0.3">
      <c r="A365" s="2" t="s">
        <v>747</v>
      </c>
      <c r="B365" s="2" t="s">
        <v>69</v>
      </c>
      <c r="C365" s="3">
        <v>46050.437291666669</v>
      </c>
      <c r="D365" t="s">
        <v>690</v>
      </c>
      <c r="E365" s="3" t="s">
        <v>699</v>
      </c>
      <c r="F365" s="2" t="s">
        <v>2</v>
      </c>
      <c r="G365" s="2" t="s">
        <v>726</v>
      </c>
      <c r="H365" s="2" t="s">
        <v>80</v>
      </c>
      <c r="I365" s="2" t="s">
        <v>484</v>
      </c>
      <c r="J365" s="2">
        <v>42</v>
      </c>
      <c r="K365" s="2" t="s">
        <v>10</v>
      </c>
      <c r="L365" s="2">
        <v>185.4</v>
      </c>
      <c r="M365" s="13">
        <v>7786.8</v>
      </c>
      <c r="N365" s="14">
        <v>25749857.448000003</v>
      </c>
      <c r="O365" s="14"/>
    </row>
    <row r="366" spans="1:15" hidden="1" x14ac:dyDescent="0.3">
      <c r="A366" s="2" t="s">
        <v>747</v>
      </c>
      <c r="B366" s="2" t="s">
        <v>69</v>
      </c>
      <c r="C366" s="3">
        <v>46050.437291666669</v>
      </c>
      <c r="D366" t="s">
        <v>690</v>
      </c>
      <c r="E366" s="3" t="s">
        <v>699</v>
      </c>
      <c r="F366" s="2" t="s">
        <v>2</v>
      </c>
      <c r="G366" s="2" t="s">
        <v>726</v>
      </c>
      <c r="H366" s="2" t="s">
        <v>80</v>
      </c>
      <c r="I366" s="2" t="s">
        <v>503</v>
      </c>
      <c r="J366" s="2">
        <v>80</v>
      </c>
      <c r="K366" s="2" t="s">
        <v>10</v>
      </c>
      <c r="L366" s="2">
        <v>185.4</v>
      </c>
      <c r="M366" s="13">
        <v>14832</v>
      </c>
      <c r="N366" s="14">
        <v>49047347.520000003</v>
      </c>
      <c r="O366" s="14"/>
    </row>
    <row r="367" spans="1:15" hidden="1" x14ac:dyDescent="0.3">
      <c r="A367" s="2" t="s">
        <v>747</v>
      </c>
      <c r="B367" s="2" t="s">
        <v>69</v>
      </c>
      <c r="C367" s="3">
        <v>46050.437291666669</v>
      </c>
      <c r="D367" t="s">
        <v>690</v>
      </c>
      <c r="E367" s="3" t="s">
        <v>699</v>
      </c>
      <c r="F367" s="2" t="s">
        <v>2</v>
      </c>
      <c r="G367" s="2" t="s">
        <v>726</v>
      </c>
      <c r="H367" s="2" t="s">
        <v>80</v>
      </c>
      <c r="I367" s="2" t="s">
        <v>535</v>
      </c>
      <c r="J367" s="2">
        <v>10</v>
      </c>
      <c r="K367" s="2" t="s">
        <v>10</v>
      </c>
      <c r="L367" s="2">
        <v>402.36</v>
      </c>
      <c r="M367" s="13">
        <v>4023.6000000000004</v>
      </c>
      <c r="N367" s="14">
        <v>13305481.896000002</v>
      </c>
      <c r="O367" s="14"/>
    </row>
    <row r="368" spans="1:15" hidden="1" x14ac:dyDescent="0.3">
      <c r="A368" s="2" t="s">
        <v>747</v>
      </c>
      <c r="B368" s="2" t="s">
        <v>69</v>
      </c>
      <c r="C368" s="3">
        <v>46050.437291666669</v>
      </c>
      <c r="D368" t="s">
        <v>690</v>
      </c>
      <c r="E368" s="3" t="s">
        <v>699</v>
      </c>
      <c r="F368" s="2" t="s">
        <v>2</v>
      </c>
      <c r="G368" s="2" t="s">
        <v>726</v>
      </c>
      <c r="H368" s="2" t="s">
        <v>80</v>
      </c>
      <c r="I368" s="2" t="s">
        <v>535</v>
      </c>
      <c r="J368" s="2">
        <v>5</v>
      </c>
      <c r="K368" s="2" t="s">
        <v>10</v>
      </c>
      <c r="L368" s="2">
        <v>442.36</v>
      </c>
      <c r="M368" s="13">
        <v>2211.8000000000002</v>
      </c>
      <c r="N368" s="14">
        <v>7314112.9480000008</v>
      </c>
      <c r="O368" s="14"/>
    </row>
    <row r="369" spans="1:15" hidden="1" x14ac:dyDescent="0.3">
      <c r="A369" s="2" t="s">
        <v>747</v>
      </c>
      <c r="B369" s="2" t="s">
        <v>69</v>
      </c>
      <c r="C369" s="3">
        <v>46050.437291666669</v>
      </c>
      <c r="D369" t="s">
        <v>690</v>
      </c>
      <c r="E369" s="3" t="s">
        <v>699</v>
      </c>
      <c r="F369" s="2" t="s">
        <v>2</v>
      </c>
      <c r="G369" s="2" t="s">
        <v>726</v>
      </c>
      <c r="H369" s="2" t="s">
        <v>80</v>
      </c>
      <c r="I369" s="2" t="s">
        <v>535</v>
      </c>
      <c r="J369" s="2">
        <v>7</v>
      </c>
      <c r="K369" s="2" t="s">
        <v>10</v>
      </c>
      <c r="L369" s="2">
        <v>482.36</v>
      </c>
      <c r="M369" s="13">
        <v>3376.52</v>
      </c>
      <c r="N369" s="14">
        <v>11165678.927200001</v>
      </c>
      <c r="O369" s="14"/>
    </row>
    <row r="370" spans="1:15" hidden="1" x14ac:dyDescent="0.3">
      <c r="A370" s="2" t="s">
        <v>747</v>
      </c>
      <c r="B370" s="2" t="s">
        <v>69</v>
      </c>
      <c r="C370" s="3">
        <v>46050.437291666669</v>
      </c>
      <c r="D370" t="s">
        <v>690</v>
      </c>
      <c r="E370" s="3" t="s">
        <v>699</v>
      </c>
      <c r="F370" s="2" t="s">
        <v>2</v>
      </c>
      <c r="G370" s="2" t="s">
        <v>726</v>
      </c>
      <c r="H370" s="2" t="s">
        <v>80</v>
      </c>
      <c r="I370" s="2" t="s">
        <v>535</v>
      </c>
      <c r="J370" s="2">
        <v>11</v>
      </c>
      <c r="K370" s="2" t="s">
        <v>10</v>
      </c>
      <c r="L370" s="2">
        <v>502.36</v>
      </c>
      <c r="M370" s="13">
        <v>5525.96</v>
      </c>
      <c r="N370" s="14">
        <v>18273576.0856</v>
      </c>
      <c r="O370" s="14"/>
    </row>
    <row r="371" spans="1:15" hidden="1" x14ac:dyDescent="0.3">
      <c r="A371" s="2" t="s">
        <v>747</v>
      </c>
      <c r="B371" s="2" t="s">
        <v>69</v>
      </c>
      <c r="C371" s="3">
        <v>46050.437291666669</v>
      </c>
      <c r="D371" t="s">
        <v>690</v>
      </c>
      <c r="E371" s="3" t="s">
        <v>699</v>
      </c>
      <c r="F371" s="2" t="s">
        <v>2</v>
      </c>
      <c r="G371" s="2" t="s">
        <v>726</v>
      </c>
      <c r="H371" s="2" t="s">
        <v>80</v>
      </c>
      <c r="I371" s="2" t="s">
        <v>535</v>
      </c>
      <c r="J371" s="2">
        <v>10</v>
      </c>
      <c r="K371" s="2" t="s">
        <v>10</v>
      </c>
      <c r="L371" s="2">
        <v>592.36</v>
      </c>
      <c r="M371" s="13">
        <v>5923.6</v>
      </c>
      <c r="N371" s="14">
        <v>19588515.896000002</v>
      </c>
      <c r="O371" s="14"/>
    </row>
    <row r="372" spans="1:15" hidden="1" x14ac:dyDescent="0.3">
      <c r="A372" s="2" t="s">
        <v>747</v>
      </c>
      <c r="B372" s="2" t="s">
        <v>69</v>
      </c>
      <c r="C372" s="3">
        <v>46050.437291666669</v>
      </c>
      <c r="D372" t="s">
        <v>690</v>
      </c>
      <c r="E372" s="3" t="s">
        <v>699</v>
      </c>
      <c r="F372" s="2" t="s">
        <v>2</v>
      </c>
      <c r="G372" s="2" t="s">
        <v>726</v>
      </c>
      <c r="H372" s="2" t="s">
        <v>80</v>
      </c>
      <c r="I372" s="2" t="s">
        <v>535</v>
      </c>
      <c r="J372" s="2">
        <v>4</v>
      </c>
      <c r="K372" s="2" t="s">
        <v>10</v>
      </c>
      <c r="L372" s="2">
        <v>722.36</v>
      </c>
      <c r="M372" s="13">
        <v>2889.44</v>
      </c>
      <c r="N372" s="14">
        <v>9554973.5584000014</v>
      </c>
      <c r="O372" s="14"/>
    </row>
    <row r="373" spans="1:15" hidden="1" x14ac:dyDescent="0.3">
      <c r="A373" s="2" t="s">
        <v>747</v>
      </c>
      <c r="B373" s="2" t="s">
        <v>69</v>
      </c>
      <c r="C373" s="3">
        <v>46050.437291666669</v>
      </c>
      <c r="D373" t="s">
        <v>690</v>
      </c>
      <c r="E373" s="3" t="s">
        <v>699</v>
      </c>
      <c r="F373" s="2" t="s">
        <v>2</v>
      </c>
      <c r="G373" s="2" t="s">
        <v>726</v>
      </c>
      <c r="H373" s="2" t="s">
        <v>80</v>
      </c>
      <c r="I373" s="2" t="s">
        <v>535</v>
      </c>
      <c r="J373" s="2">
        <v>1</v>
      </c>
      <c r="K373" s="2" t="s">
        <v>10</v>
      </c>
      <c r="L373" s="2">
        <v>922.36</v>
      </c>
      <c r="M373" s="13">
        <v>922.36</v>
      </c>
      <c r="N373" s="14">
        <v>3050115.3896000003</v>
      </c>
      <c r="O373" s="14"/>
    </row>
    <row r="374" spans="1:15" hidden="1" x14ac:dyDescent="0.3">
      <c r="A374" s="2" t="s">
        <v>747</v>
      </c>
      <c r="B374" s="2" t="s">
        <v>70</v>
      </c>
      <c r="C374" s="3">
        <v>46050.405601851853</v>
      </c>
      <c r="D374" t="s">
        <v>690</v>
      </c>
      <c r="E374" s="3" t="s">
        <v>699</v>
      </c>
      <c r="F374" s="2" t="s">
        <v>8</v>
      </c>
      <c r="G374" s="2" t="s">
        <v>726</v>
      </c>
      <c r="H374" s="2" t="s">
        <v>90</v>
      </c>
      <c r="I374" s="2" t="s">
        <v>682</v>
      </c>
      <c r="J374" s="2">
        <v>7</v>
      </c>
      <c r="K374" s="2" t="s">
        <v>10</v>
      </c>
      <c r="L374" s="2">
        <v>32.32</v>
      </c>
      <c r="M374" s="13">
        <v>226.24</v>
      </c>
      <c r="N374" s="14">
        <v>748144.00640000007</v>
      </c>
      <c r="O374" s="14"/>
    </row>
    <row r="375" spans="1:15" hidden="1" x14ac:dyDescent="0.3">
      <c r="A375" s="2" t="s">
        <v>747</v>
      </c>
      <c r="B375" s="2" t="s">
        <v>70</v>
      </c>
      <c r="C375" s="3">
        <v>46050.405601851853</v>
      </c>
      <c r="D375" t="s">
        <v>690</v>
      </c>
      <c r="E375" s="3" t="s">
        <v>699</v>
      </c>
      <c r="F375" s="2" t="s">
        <v>8</v>
      </c>
      <c r="G375" s="2" t="s">
        <v>726</v>
      </c>
      <c r="H375" s="2" t="s">
        <v>79</v>
      </c>
      <c r="I375" s="2" t="s">
        <v>591</v>
      </c>
      <c r="J375" s="2">
        <v>3</v>
      </c>
      <c r="K375" s="2" t="s">
        <v>10</v>
      </c>
      <c r="L375" s="2">
        <v>35</v>
      </c>
      <c r="M375" s="13">
        <v>105</v>
      </c>
      <c r="N375" s="14">
        <v>347220.3</v>
      </c>
      <c r="O375" s="14"/>
    </row>
    <row r="376" spans="1:15" hidden="1" x14ac:dyDescent="0.3">
      <c r="A376" s="2" t="s">
        <v>747</v>
      </c>
      <c r="B376" s="2" t="s">
        <v>70</v>
      </c>
      <c r="C376" s="3">
        <v>46050.405601851853</v>
      </c>
      <c r="D376" t="s">
        <v>690</v>
      </c>
      <c r="E376" s="3" t="s">
        <v>699</v>
      </c>
      <c r="F376" s="2" t="s">
        <v>8</v>
      </c>
      <c r="G376" s="2" t="s">
        <v>726</v>
      </c>
      <c r="H376" s="2" t="s">
        <v>79</v>
      </c>
      <c r="I376" s="2" t="s">
        <v>470</v>
      </c>
      <c r="J376" s="2">
        <v>0</v>
      </c>
      <c r="K376" s="2" t="s">
        <v>10</v>
      </c>
      <c r="L376" s="2">
        <v>0</v>
      </c>
      <c r="M376" s="13">
        <v>0</v>
      </c>
      <c r="N376" s="14">
        <v>0</v>
      </c>
      <c r="O376" s="14"/>
    </row>
    <row r="377" spans="1:15" hidden="1" x14ac:dyDescent="0.3">
      <c r="A377" s="2" t="s">
        <v>747</v>
      </c>
      <c r="B377" s="2" t="s">
        <v>70</v>
      </c>
      <c r="C377" s="3">
        <v>46050.405601851853</v>
      </c>
      <c r="D377" t="s">
        <v>690</v>
      </c>
      <c r="E377" s="3" t="s">
        <v>699</v>
      </c>
      <c r="F377" s="2" t="s">
        <v>8</v>
      </c>
      <c r="G377" s="2" t="s">
        <v>726</v>
      </c>
      <c r="H377" s="2" t="s">
        <v>79</v>
      </c>
      <c r="I377" s="2" t="s">
        <v>679</v>
      </c>
      <c r="J377" s="2">
        <v>25</v>
      </c>
      <c r="K377" s="2" t="s">
        <v>10</v>
      </c>
      <c r="L377" s="2">
        <v>13.2</v>
      </c>
      <c r="M377" s="13">
        <v>330</v>
      </c>
      <c r="N377" s="14">
        <v>1091263.8</v>
      </c>
      <c r="O377" s="14"/>
    </row>
    <row r="378" spans="1:15" hidden="1" x14ac:dyDescent="0.3">
      <c r="A378" s="2" t="s">
        <v>747</v>
      </c>
      <c r="B378" s="2" t="s">
        <v>71</v>
      </c>
      <c r="C378" s="3">
        <v>46048.730347222219</v>
      </c>
      <c r="D378" t="s">
        <v>690</v>
      </c>
      <c r="E378" s="3" t="s">
        <v>699</v>
      </c>
      <c r="F378" s="2" t="s">
        <v>8</v>
      </c>
      <c r="G378" s="2" t="s">
        <v>726</v>
      </c>
      <c r="H378" s="2" t="s">
        <v>92</v>
      </c>
      <c r="I378" s="2" t="s">
        <v>560</v>
      </c>
      <c r="J378" s="2">
        <v>2</v>
      </c>
      <c r="K378" s="2" t="s">
        <v>10</v>
      </c>
      <c r="L378" s="2">
        <v>63.01</v>
      </c>
      <c r="M378" s="13">
        <v>126.02</v>
      </c>
      <c r="N378" s="14">
        <v>416730.49719999998</v>
      </c>
      <c r="O378" s="14"/>
    </row>
    <row r="379" spans="1:15" hidden="1" x14ac:dyDescent="0.3">
      <c r="A379" s="2" t="s">
        <v>747</v>
      </c>
      <c r="B379" s="2" t="s">
        <v>71</v>
      </c>
      <c r="C379" s="3">
        <v>46048.730347222219</v>
      </c>
      <c r="D379" t="s">
        <v>690</v>
      </c>
      <c r="E379" s="3" t="s">
        <v>699</v>
      </c>
      <c r="F379" s="2" t="s">
        <v>8</v>
      </c>
      <c r="G379" s="2" t="s">
        <v>726</v>
      </c>
      <c r="H379" s="2" t="s">
        <v>79</v>
      </c>
      <c r="I379" s="2" t="s">
        <v>410</v>
      </c>
      <c r="J379" s="2">
        <v>2</v>
      </c>
      <c r="K379" s="2" t="s">
        <v>10</v>
      </c>
      <c r="L379" s="2">
        <v>153.15</v>
      </c>
      <c r="M379" s="13">
        <v>306.3</v>
      </c>
      <c r="N379" s="14">
        <v>1012891.2180000001</v>
      </c>
      <c r="O379" s="14"/>
    </row>
    <row r="380" spans="1:15" hidden="1" x14ac:dyDescent="0.3">
      <c r="A380" s="2" t="s">
        <v>747</v>
      </c>
      <c r="B380" s="2" t="s">
        <v>71</v>
      </c>
      <c r="C380" s="3">
        <v>46048.730347222219</v>
      </c>
      <c r="D380" t="s">
        <v>690</v>
      </c>
      <c r="E380" s="3" t="s">
        <v>699</v>
      </c>
      <c r="F380" s="2" t="s">
        <v>8</v>
      </c>
      <c r="G380" s="2" t="s">
        <v>726</v>
      </c>
      <c r="H380" s="2" t="s">
        <v>79</v>
      </c>
      <c r="I380" s="2" t="s">
        <v>668</v>
      </c>
      <c r="J380" s="2">
        <v>3</v>
      </c>
      <c r="K380" s="2" t="s">
        <v>10</v>
      </c>
      <c r="L380" s="2">
        <v>92.89</v>
      </c>
      <c r="M380" s="13">
        <v>278.67</v>
      </c>
      <c r="N380" s="14">
        <v>921522.6762000001</v>
      </c>
      <c r="O380" s="14"/>
    </row>
    <row r="381" spans="1:15" hidden="1" x14ac:dyDescent="0.3">
      <c r="A381" s="2" t="s">
        <v>747</v>
      </c>
      <c r="B381" s="2" t="s">
        <v>71</v>
      </c>
      <c r="C381" s="3">
        <v>46048.730347222219</v>
      </c>
      <c r="D381" t="s">
        <v>690</v>
      </c>
      <c r="E381" s="3" t="s">
        <v>699</v>
      </c>
      <c r="F381" s="2" t="s">
        <v>8</v>
      </c>
      <c r="G381" s="2" t="s">
        <v>726</v>
      </c>
      <c r="H381" s="2" t="s">
        <v>82</v>
      </c>
      <c r="I381" s="2" t="s">
        <v>592</v>
      </c>
      <c r="J381" s="2">
        <v>11</v>
      </c>
      <c r="K381" s="2" t="s">
        <v>10</v>
      </c>
      <c r="L381" s="2">
        <v>148.07</v>
      </c>
      <c r="M381" s="13">
        <v>1628.77</v>
      </c>
      <c r="N381" s="14">
        <v>5386114.3622000003</v>
      </c>
      <c r="O381" s="14"/>
    </row>
    <row r="382" spans="1:15" hidden="1" x14ac:dyDescent="0.3">
      <c r="A382" s="2" t="s">
        <v>747</v>
      </c>
      <c r="B382" s="2" t="s">
        <v>72</v>
      </c>
      <c r="C382" s="3">
        <v>46043.347500000003</v>
      </c>
      <c r="D382" t="s">
        <v>690</v>
      </c>
      <c r="E382" s="3" t="s">
        <v>699</v>
      </c>
      <c r="F382" s="2" t="s">
        <v>8</v>
      </c>
      <c r="G382" s="2" t="s">
        <v>726</v>
      </c>
      <c r="H382" s="2" t="s">
        <v>79</v>
      </c>
      <c r="I382" s="2" t="s">
        <v>594</v>
      </c>
      <c r="J382" s="2">
        <v>20</v>
      </c>
      <c r="K382" s="2" t="s">
        <v>10</v>
      </c>
      <c r="L382" s="2">
        <v>2.5</v>
      </c>
      <c r="M382" s="13">
        <v>50</v>
      </c>
      <c r="N382" s="14">
        <v>165343</v>
      </c>
      <c r="O382" s="14"/>
    </row>
    <row r="383" spans="1:15" hidden="1" x14ac:dyDescent="0.3">
      <c r="A383" s="2" t="s">
        <v>747</v>
      </c>
      <c r="B383" s="2" t="s">
        <v>72</v>
      </c>
      <c r="C383" s="3">
        <v>46043.347500000003</v>
      </c>
      <c r="D383" t="s">
        <v>690</v>
      </c>
      <c r="E383" s="3" t="s">
        <v>699</v>
      </c>
      <c r="F383" s="2" t="s">
        <v>8</v>
      </c>
      <c r="G383" s="2" t="s">
        <v>726</v>
      </c>
      <c r="H383" s="2" t="s">
        <v>79</v>
      </c>
      <c r="I383" s="2" t="s">
        <v>463</v>
      </c>
      <c r="J383" s="2">
        <v>8</v>
      </c>
      <c r="K383" s="2" t="s">
        <v>10</v>
      </c>
      <c r="L383" s="2">
        <v>46.33</v>
      </c>
      <c r="M383" s="13">
        <v>370.64</v>
      </c>
      <c r="N383" s="14">
        <v>1225654.5904000001</v>
      </c>
      <c r="O383" s="14"/>
    </row>
    <row r="384" spans="1:15" hidden="1" x14ac:dyDescent="0.3">
      <c r="A384" s="2" t="s">
        <v>747</v>
      </c>
      <c r="B384" s="2" t="s">
        <v>72</v>
      </c>
      <c r="C384" s="3">
        <v>46043.347500000003</v>
      </c>
      <c r="D384" t="s">
        <v>690</v>
      </c>
      <c r="E384" s="3" t="s">
        <v>699</v>
      </c>
      <c r="F384" s="2" t="s">
        <v>8</v>
      </c>
      <c r="G384" s="2" t="s">
        <v>726</v>
      </c>
      <c r="H384" s="2" t="s">
        <v>79</v>
      </c>
      <c r="I384" s="2" t="s">
        <v>390</v>
      </c>
      <c r="J384" s="2">
        <v>2</v>
      </c>
      <c r="K384" s="2" t="s">
        <v>10</v>
      </c>
      <c r="L384" s="2">
        <v>51.02</v>
      </c>
      <c r="M384" s="13">
        <v>102.04</v>
      </c>
      <c r="N384" s="14">
        <v>337431.99440000003</v>
      </c>
      <c r="O384" s="14"/>
    </row>
    <row r="385" spans="1:15" hidden="1" x14ac:dyDescent="0.3">
      <c r="A385" s="2" t="s">
        <v>747</v>
      </c>
      <c r="B385" s="2" t="s">
        <v>72</v>
      </c>
      <c r="C385" s="3">
        <v>46043.347500000003</v>
      </c>
      <c r="D385" t="s">
        <v>690</v>
      </c>
      <c r="E385" s="3" t="s">
        <v>699</v>
      </c>
      <c r="F385" s="2" t="s">
        <v>1</v>
      </c>
      <c r="G385" s="2" t="s">
        <v>745</v>
      </c>
      <c r="H385" s="2" t="s">
        <v>79</v>
      </c>
      <c r="I385" s="2" t="s">
        <v>516</v>
      </c>
      <c r="J385" s="2">
        <v>16</v>
      </c>
      <c r="K385" s="2" t="s">
        <v>10</v>
      </c>
      <c r="L385" s="2">
        <v>3.2</v>
      </c>
      <c r="M385" s="13">
        <v>51.2</v>
      </c>
      <c r="N385" s="14">
        <v>169311.23200000002</v>
      </c>
      <c r="O385" s="14"/>
    </row>
    <row r="386" spans="1:15" hidden="1" x14ac:dyDescent="0.3">
      <c r="A386" s="2" t="s">
        <v>747</v>
      </c>
      <c r="B386" s="2" t="s">
        <v>72</v>
      </c>
      <c r="C386" s="3">
        <v>46043.347500000003</v>
      </c>
      <c r="D386" t="s">
        <v>690</v>
      </c>
      <c r="E386" s="3" t="s">
        <v>699</v>
      </c>
      <c r="F386" s="2" t="s">
        <v>1</v>
      </c>
      <c r="G386" s="2" t="s">
        <v>745</v>
      </c>
      <c r="H386" s="2" t="s">
        <v>89</v>
      </c>
      <c r="I386" s="2" t="s">
        <v>595</v>
      </c>
      <c r="J386" s="2">
        <v>5</v>
      </c>
      <c r="K386" s="2" t="s">
        <v>10</v>
      </c>
      <c r="L386" s="2">
        <v>3.1</v>
      </c>
      <c r="M386" s="13">
        <v>15.5</v>
      </c>
      <c r="N386" s="14">
        <v>51256.33</v>
      </c>
      <c r="O386" s="14"/>
    </row>
    <row r="387" spans="1:15" hidden="1" x14ac:dyDescent="0.3">
      <c r="A387" s="2" t="s">
        <v>747</v>
      </c>
      <c r="B387" s="2" t="s">
        <v>73</v>
      </c>
      <c r="C387" s="3">
        <v>46048.623078703713</v>
      </c>
      <c r="D387" t="s">
        <v>690</v>
      </c>
      <c r="E387" s="3" t="s">
        <v>699</v>
      </c>
      <c r="F387" s="2" t="s">
        <v>1</v>
      </c>
      <c r="G387" s="2" t="s">
        <v>1</v>
      </c>
      <c r="H387" s="2"/>
      <c r="I387" s="2" t="s">
        <v>539</v>
      </c>
      <c r="J387" s="2">
        <v>1</v>
      </c>
      <c r="K387" s="2" t="s">
        <v>0</v>
      </c>
      <c r="L387" s="2">
        <v>506970</v>
      </c>
      <c r="M387" s="13">
        <v>506970</v>
      </c>
      <c r="N387" s="14">
        <v>506970</v>
      </c>
      <c r="O387" s="14"/>
    </row>
    <row r="388" spans="1:15" hidden="1" x14ac:dyDescent="0.3">
      <c r="A388" s="2" t="s">
        <v>747</v>
      </c>
      <c r="B388" s="2" t="s">
        <v>74</v>
      </c>
      <c r="C388" s="3">
        <v>46212.399641203701</v>
      </c>
      <c r="D388" t="s">
        <v>719</v>
      </c>
      <c r="E388" s="3" t="s">
        <v>702</v>
      </c>
      <c r="F388" s="2" t="s">
        <v>1</v>
      </c>
      <c r="G388" s="2" t="s">
        <v>1</v>
      </c>
      <c r="H388" s="2"/>
      <c r="I388" s="2" t="s">
        <v>423</v>
      </c>
      <c r="J388" s="2">
        <v>1</v>
      </c>
      <c r="K388" s="2" t="s">
        <v>0</v>
      </c>
      <c r="L388" s="2">
        <v>598505</v>
      </c>
      <c r="M388" s="13">
        <v>598505</v>
      </c>
      <c r="N388" s="14">
        <v>598505</v>
      </c>
    </row>
    <row r="389" spans="1:15" hidden="1" x14ac:dyDescent="0.3">
      <c r="A389" s="2" t="s">
        <v>747</v>
      </c>
      <c r="B389" s="2" t="s">
        <v>74</v>
      </c>
      <c r="C389" s="3">
        <v>46212.399641203701</v>
      </c>
      <c r="D389" t="s">
        <v>719</v>
      </c>
      <c r="E389" s="3" t="s">
        <v>702</v>
      </c>
      <c r="F389" s="2" t="s">
        <v>1</v>
      </c>
      <c r="G389" s="2" t="s">
        <v>1</v>
      </c>
      <c r="H389" s="2"/>
      <c r="I389" s="2" t="s">
        <v>422</v>
      </c>
      <c r="J389" s="2">
        <v>1</v>
      </c>
      <c r="K389" s="2" t="s">
        <v>0</v>
      </c>
      <c r="L389" s="2">
        <v>5049198</v>
      </c>
      <c r="M389" s="13">
        <v>5049198</v>
      </c>
      <c r="N389" s="14">
        <v>5049198</v>
      </c>
    </row>
    <row r="390" spans="1:15" x14ac:dyDescent="0.3">
      <c r="A390" s="2" t="s">
        <v>747</v>
      </c>
      <c r="B390" s="2" t="s">
        <v>74</v>
      </c>
      <c r="C390" s="3">
        <v>46212.399641203701</v>
      </c>
      <c r="D390" t="s">
        <v>719</v>
      </c>
      <c r="E390" s="3" t="s">
        <v>702</v>
      </c>
      <c r="F390" s="2" t="s">
        <v>1</v>
      </c>
      <c r="G390" s="2" t="s">
        <v>6</v>
      </c>
      <c r="H390" s="2" t="s">
        <v>85</v>
      </c>
      <c r="I390" s="2" t="s">
        <v>424</v>
      </c>
      <c r="J390" s="2">
        <v>1</v>
      </c>
      <c r="K390" s="2" t="s">
        <v>0</v>
      </c>
      <c r="L390" s="2">
        <v>49223463</v>
      </c>
      <c r="M390" s="13">
        <v>49223463</v>
      </c>
      <c r="N390" s="14">
        <v>49223463</v>
      </c>
    </row>
    <row r="391" spans="1:15" hidden="1" x14ac:dyDescent="0.3">
      <c r="A391" s="2" t="s">
        <v>747</v>
      </c>
      <c r="B391" s="2" t="s">
        <v>75</v>
      </c>
      <c r="C391" s="3">
        <v>46041.384710648148</v>
      </c>
      <c r="D391" t="s">
        <v>690</v>
      </c>
      <c r="E391" s="3" t="s">
        <v>699</v>
      </c>
      <c r="F391" s="2" t="s">
        <v>2</v>
      </c>
      <c r="G391" s="2" t="s">
        <v>726</v>
      </c>
      <c r="H391" s="2" t="s">
        <v>80</v>
      </c>
      <c r="I391" s="2" t="s">
        <v>580</v>
      </c>
      <c r="J391" s="2">
        <v>34</v>
      </c>
      <c r="K391" s="2" t="s">
        <v>0</v>
      </c>
      <c r="L391" s="2">
        <v>632720</v>
      </c>
      <c r="M391" s="13">
        <v>21512480</v>
      </c>
      <c r="N391" s="14">
        <v>21512480</v>
      </c>
    </row>
    <row r="392" spans="1:15" hidden="1" x14ac:dyDescent="0.3">
      <c r="A392" s="2" t="s">
        <v>747</v>
      </c>
      <c r="B392" s="2" t="s">
        <v>76</v>
      </c>
      <c r="C392" s="3">
        <v>46035.683055555557</v>
      </c>
      <c r="D392" t="s">
        <v>690</v>
      </c>
      <c r="E392" s="3" t="s">
        <v>699</v>
      </c>
      <c r="F392" s="2" t="s">
        <v>2</v>
      </c>
      <c r="G392" s="2" t="s">
        <v>726</v>
      </c>
      <c r="H392" s="2" t="s">
        <v>80</v>
      </c>
      <c r="I392" s="2" t="s">
        <v>683</v>
      </c>
      <c r="J392" s="2">
        <v>0</v>
      </c>
      <c r="K392" s="2" t="s">
        <v>10</v>
      </c>
      <c r="L392" s="2">
        <v>2298.96</v>
      </c>
      <c r="M392" s="13">
        <v>0</v>
      </c>
      <c r="N392" s="14">
        <v>0</v>
      </c>
    </row>
    <row r="393" spans="1:15" hidden="1" x14ac:dyDescent="0.3">
      <c r="A393" s="2" t="s">
        <v>747</v>
      </c>
      <c r="B393" s="2" t="s">
        <v>76</v>
      </c>
      <c r="C393" s="3">
        <v>46035.683055555557</v>
      </c>
      <c r="D393" t="s">
        <v>690</v>
      </c>
      <c r="E393" s="3" t="s">
        <v>699</v>
      </c>
      <c r="F393" s="2" t="s">
        <v>2</v>
      </c>
      <c r="G393" s="2" t="s">
        <v>726</v>
      </c>
      <c r="H393" s="2" t="s">
        <v>80</v>
      </c>
      <c r="I393" s="2" t="s">
        <v>503</v>
      </c>
      <c r="J393" s="2">
        <v>8</v>
      </c>
      <c r="K393" s="2" t="s">
        <v>10</v>
      </c>
      <c r="L393" s="2">
        <v>248.41</v>
      </c>
      <c r="M393" s="13">
        <v>1987.28</v>
      </c>
      <c r="N393" s="14">
        <v>6571656.7407999998</v>
      </c>
    </row>
    <row r="394" spans="1:15" hidden="1" x14ac:dyDescent="0.3">
      <c r="A394" s="2" t="s">
        <v>747</v>
      </c>
      <c r="B394" s="2" t="s">
        <v>76</v>
      </c>
      <c r="C394" s="3">
        <v>46035.683055555557</v>
      </c>
      <c r="D394" t="s">
        <v>690</v>
      </c>
      <c r="E394" s="3" t="s">
        <v>699</v>
      </c>
      <c r="F394" s="2" t="s">
        <v>2</v>
      </c>
      <c r="G394" s="2" t="s">
        <v>726</v>
      </c>
      <c r="H394" s="2" t="s">
        <v>80</v>
      </c>
      <c r="I394" s="2" t="s">
        <v>448</v>
      </c>
      <c r="J394" s="2">
        <v>3</v>
      </c>
      <c r="K394" s="2" t="s">
        <v>10</v>
      </c>
      <c r="L394" s="2">
        <v>2340</v>
      </c>
      <c r="M394" s="13">
        <v>7020</v>
      </c>
      <c r="N394" s="14">
        <v>23214157.199999999</v>
      </c>
    </row>
    <row r="395" spans="1:15" hidden="1" x14ac:dyDescent="0.3">
      <c r="A395" s="2" t="s">
        <v>747</v>
      </c>
      <c r="B395" s="2" t="s">
        <v>77</v>
      </c>
      <c r="C395" s="3">
        <v>46036.354953703703</v>
      </c>
      <c r="D395" t="s">
        <v>690</v>
      </c>
      <c r="E395" s="3" t="s">
        <v>699</v>
      </c>
      <c r="F395" s="2" t="s">
        <v>8</v>
      </c>
      <c r="G395" s="2" t="s">
        <v>726</v>
      </c>
      <c r="H395" s="2" t="s">
        <v>79</v>
      </c>
      <c r="I395" s="2" t="s">
        <v>394</v>
      </c>
      <c r="J395" s="2">
        <v>1</v>
      </c>
      <c r="K395" s="2" t="s">
        <v>10</v>
      </c>
      <c r="L395" s="2">
        <v>9.08</v>
      </c>
      <c r="M395" s="13">
        <v>9.08</v>
      </c>
      <c r="N395" s="14">
        <v>30026.288800000002</v>
      </c>
    </row>
  </sheetData>
  <autoFilter ref="A1:P395" xr:uid="{AAD91E48-13C5-491A-B75E-C4A10644989A}">
    <filterColumn colId="4">
      <filters>
        <filter val="Q3"/>
      </filters>
    </filterColumn>
    <filterColumn colId="6">
      <filters>
        <filter val="ELECTROBARRAS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Rebates</vt:lpstr>
      <vt:lpstr>Tablas</vt:lpstr>
      <vt:lpstr>Facturado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CSA PowerTec</cp:lastModifiedBy>
  <dcterms:created xsi:type="dcterms:W3CDTF">2025-09-22T20:20:53Z</dcterms:created>
  <dcterms:modified xsi:type="dcterms:W3CDTF">2026-09-28T19:20:09Z</dcterms:modified>
</cp:coreProperties>
</file>